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24" codeName="{00000000-0000-0000-0000-000000000000}"/>
  <workbookPr showInkAnnotation="0" codeName="ThisWorkbook" autoCompressPictures="0"/>
  <bookViews>
    <workbookView xWindow="0" yWindow="0" windowWidth="25600" windowHeight="15520" tabRatio="500"/>
  </bookViews>
  <sheets>
    <sheet name="Board" sheetId="1" r:id="rId1"/>
    <sheet name="Fairs" sheetId="2" r:id="rId2"/>
    <sheet name="Fairs2" sheetId="5" r:id="rId3"/>
    <sheet name="Orders" sheetId="3" r:id="rId4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1" l="1"/>
  <c r="B31" i="5"/>
  <c r="X2" i="1"/>
  <c r="I1" i="2"/>
  <c r="B36" i="5"/>
  <c r="B30" i="5"/>
  <c r="I1" i="5"/>
  <c r="J98" i="3"/>
  <c r="G1" i="5"/>
  <c r="J97" i="3"/>
  <c r="E1" i="5"/>
  <c r="J96" i="3"/>
  <c r="C1" i="5"/>
  <c r="J95" i="3"/>
  <c r="A1" i="5"/>
  <c r="J94" i="3"/>
  <c r="G1" i="2"/>
  <c r="J93" i="3"/>
  <c r="J92" i="3"/>
  <c r="J91" i="3"/>
  <c r="J90" i="3"/>
  <c r="E1" i="2"/>
  <c r="J89" i="3"/>
  <c r="J88" i="3"/>
  <c r="J87" i="3"/>
  <c r="C1" i="2"/>
  <c r="J86" i="3"/>
  <c r="J85" i="3"/>
  <c r="A1" i="2"/>
  <c r="J84" i="3"/>
  <c r="J70" i="3"/>
  <c r="J69" i="3"/>
  <c r="E26" i="2"/>
  <c r="B26" i="2"/>
  <c r="B26" i="5"/>
  <c r="B27" i="5"/>
  <c r="B28" i="5"/>
  <c r="B2" i="5"/>
  <c r="B33" i="5"/>
  <c r="B34" i="5"/>
  <c r="B37" i="5"/>
  <c r="B3" i="5"/>
  <c r="B2" i="2"/>
  <c r="B3" i="2"/>
  <c r="K84" i="3"/>
  <c r="O10" i="1"/>
  <c r="Q9" i="1"/>
  <c r="Y3" i="1"/>
  <c r="F3" i="1"/>
  <c r="I19" i="2"/>
  <c r="J25" i="3"/>
  <c r="J30" i="3"/>
  <c r="J29" i="3"/>
  <c r="B33" i="2"/>
  <c r="H2" i="5"/>
  <c r="F2" i="5"/>
  <c r="D2" i="5"/>
  <c r="J2" i="2"/>
  <c r="H2" i="2"/>
  <c r="F2" i="2"/>
  <c r="D2" i="2"/>
  <c r="J2" i="5"/>
  <c r="D6" i="2"/>
  <c r="B6" i="2"/>
  <c r="K70" i="3"/>
  <c r="D3" i="5"/>
  <c r="K71" i="3"/>
  <c r="F3" i="5"/>
  <c r="K72" i="3"/>
  <c r="H3" i="5"/>
  <c r="K73" i="3"/>
  <c r="J3" i="5"/>
  <c r="D3" i="2"/>
  <c r="K85" i="3"/>
  <c r="K74" i="3"/>
  <c r="K86" i="3"/>
  <c r="K75" i="3"/>
  <c r="K76" i="3"/>
  <c r="K77" i="3"/>
  <c r="F3" i="2"/>
  <c r="K87" i="3"/>
  <c r="K88" i="3"/>
  <c r="K78" i="3"/>
  <c r="K89" i="3"/>
  <c r="K79" i="3"/>
  <c r="K80" i="3"/>
  <c r="H3" i="2"/>
  <c r="K90" i="3"/>
  <c r="K91" i="3"/>
  <c r="K92" i="3"/>
  <c r="K81" i="3"/>
  <c r="K93" i="3"/>
  <c r="K82" i="3"/>
  <c r="J3" i="2"/>
  <c r="K94" i="3"/>
  <c r="K95" i="3"/>
  <c r="K96" i="3"/>
  <c r="K97" i="3"/>
  <c r="K83" i="3"/>
  <c r="K98" i="3"/>
  <c r="K69" i="3"/>
  <c r="J83" i="3"/>
  <c r="J71" i="3"/>
  <c r="J72" i="3"/>
  <c r="J73" i="3"/>
  <c r="J74" i="3"/>
  <c r="J75" i="3"/>
  <c r="J76" i="3"/>
  <c r="J77" i="3"/>
  <c r="J78" i="3"/>
  <c r="J79" i="3"/>
  <c r="J80" i="3"/>
  <c r="J81" i="3"/>
  <c r="J82" i="3"/>
  <c r="J68" i="3"/>
  <c r="K68" i="3"/>
  <c r="K34" i="3"/>
  <c r="K67" i="3"/>
  <c r="K33" i="3"/>
  <c r="K66" i="3"/>
  <c r="K32" i="3"/>
  <c r="K65" i="3"/>
  <c r="K31" i="3"/>
  <c r="K64" i="3"/>
  <c r="K30" i="3"/>
  <c r="K63" i="3"/>
  <c r="K29" i="3"/>
  <c r="H10" i="5"/>
  <c r="K62" i="3"/>
  <c r="F10" i="5"/>
  <c r="K61" i="3"/>
  <c r="D10" i="5"/>
  <c r="K60" i="3"/>
  <c r="D10" i="2"/>
  <c r="K26" i="3"/>
  <c r="J19" i="5"/>
  <c r="K59" i="3"/>
  <c r="H19" i="5"/>
  <c r="K58" i="3"/>
  <c r="F19" i="5"/>
  <c r="K57" i="3"/>
  <c r="D19" i="5"/>
  <c r="K56" i="3"/>
  <c r="B19" i="5"/>
  <c r="K55" i="3"/>
  <c r="B19" i="2"/>
  <c r="K21" i="3"/>
  <c r="J5" i="5"/>
  <c r="K54" i="3"/>
  <c r="J4" i="5"/>
  <c r="K53" i="3"/>
  <c r="K52" i="3"/>
  <c r="K51" i="3"/>
  <c r="H5" i="5"/>
  <c r="K50" i="3"/>
  <c r="H4" i="5"/>
  <c r="K49" i="3"/>
  <c r="K48" i="3"/>
  <c r="K47" i="3"/>
  <c r="F5" i="5"/>
  <c r="K46" i="3"/>
  <c r="F4" i="5"/>
  <c r="K45" i="3"/>
  <c r="K44" i="3"/>
  <c r="K43" i="3"/>
  <c r="D5" i="5"/>
  <c r="K42" i="3"/>
  <c r="D4" i="5"/>
  <c r="K41" i="3"/>
  <c r="K40" i="3"/>
  <c r="K39" i="3"/>
  <c r="B5" i="5"/>
  <c r="K38" i="3"/>
  <c r="B4" i="5"/>
  <c r="K37" i="3"/>
  <c r="K36" i="3"/>
  <c r="K35" i="3"/>
  <c r="K1" i="3"/>
  <c r="J67" i="3"/>
  <c r="J66" i="3"/>
  <c r="J32" i="3"/>
  <c r="J65" i="3"/>
  <c r="J64" i="3"/>
  <c r="J63" i="3"/>
  <c r="J62" i="3"/>
  <c r="J61" i="3"/>
  <c r="J60" i="3"/>
  <c r="J26" i="3"/>
  <c r="I19" i="5"/>
  <c r="J59" i="3"/>
  <c r="G19" i="5"/>
  <c r="J58" i="3"/>
  <c r="E19" i="5"/>
  <c r="J57" i="3"/>
  <c r="C19" i="5"/>
  <c r="J56" i="3"/>
  <c r="A19" i="5"/>
  <c r="J55" i="3"/>
  <c r="A19" i="2"/>
  <c r="J21" i="3"/>
  <c r="I5" i="5"/>
  <c r="J54" i="3"/>
  <c r="I4" i="5"/>
  <c r="J53" i="3"/>
  <c r="I3" i="5"/>
  <c r="J52" i="3"/>
  <c r="I2" i="5"/>
  <c r="J51" i="3"/>
  <c r="G5" i="5"/>
  <c r="J50" i="3"/>
  <c r="G4" i="5"/>
  <c r="J49" i="3"/>
  <c r="G3" i="5"/>
  <c r="J48" i="3"/>
  <c r="G2" i="5"/>
  <c r="J47" i="3"/>
  <c r="E5" i="5"/>
  <c r="J46" i="3"/>
  <c r="E4" i="5"/>
  <c r="J45" i="3"/>
  <c r="E3" i="5"/>
  <c r="J44" i="3"/>
  <c r="E2" i="5"/>
  <c r="J43" i="3"/>
  <c r="C5" i="5"/>
  <c r="J42" i="3"/>
  <c r="C4" i="5"/>
  <c r="J41" i="3"/>
  <c r="C3" i="5"/>
  <c r="J40" i="3"/>
  <c r="C2" i="5"/>
  <c r="J39" i="3"/>
  <c r="A5" i="5"/>
  <c r="J38" i="3"/>
  <c r="A4" i="5"/>
  <c r="J37" i="3"/>
  <c r="A3" i="5"/>
  <c r="J36" i="3"/>
  <c r="A2" i="5"/>
  <c r="J35" i="3"/>
  <c r="A2" i="2"/>
  <c r="J1" i="3"/>
  <c r="J34" i="3"/>
  <c r="J33" i="3"/>
  <c r="J31" i="3"/>
  <c r="J28" i="3"/>
  <c r="J27" i="3"/>
  <c r="G19" i="2"/>
  <c r="J24" i="3"/>
  <c r="E19" i="2"/>
  <c r="J23" i="3"/>
  <c r="C19" i="2"/>
  <c r="J22" i="3"/>
  <c r="I5" i="2"/>
  <c r="J20" i="3"/>
  <c r="I4" i="2"/>
  <c r="J19" i="3"/>
  <c r="I3" i="2"/>
  <c r="J18" i="3"/>
  <c r="I2" i="2"/>
  <c r="J17" i="3"/>
  <c r="G5" i="2"/>
  <c r="J16" i="3"/>
  <c r="G4" i="2"/>
  <c r="J15" i="3"/>
  <c r="G3" i="2"/>
  <c r="J14" i="3"/>
  <c r="G2" i="2"/>
  <c r="J13" i="3"/>
  <c r="E5" i="2"/>
  <c r="J12" i="3"/>
  <c r="E4" i="2"/>
  <c r="J11" i="3"/>
  <c r="E3" i="2"/>
  <c r="J10" i="3"/>
  <c r="E2" i="2"/>
  <c r="J9" i="3"/>
  <c r="C5" i="2"/>
  <c r="J8" i="3"/>
  <c r="C4" i="2"/>
  <c r="J7" i="3"/>
  <c r="C3" i="2"/>
  <c r="J6" i="3"/>
  <c r="C2" i="2"/>
  <c r="J5" i="3"/>
  <c r="A5" i="2"/>
  <c r="J4" i="3"/>
  <c r="A4" i="2"/>
  <c r="J3" i="3"/>
  <c r="A3" i="2"/>
  <c r="J2" i="3"/>
  <c r="I7" i="5"/>
  <c r="I9" i="5"/>
  <c r="I10" i="5"/>
  <c r="I6" i="5"/>
  <c r="I8" i="5"/>
  <c r="AD8" i="1"/>
  <c r="G9" i="5"/>
  <c r="G15" i="5"/>
  <c r="G8" i="5"/>
  <c r="G11" i="5"/>
  <c r="G12" i="5"/>
  <c r="G7" i="5"/>
  <c r="G10" i="5"/>
  <c r="G6" i="5"/>
  <c r="G14" i="5"/>
  <c r="G13" i="5"/>
  <c r="AD7" i="1"/>
  <c r="E6" i="5"/>
  <c r="E7" i="5"/>
  <c r="E15" i="5"/>
  <c r="E11" i="5"/>
  <c r="E13" i="5"/>
  <c r="E12" i="5"/>
  <c r="E16" i="5"/>
  <c r="E10" i="5"/>
  <c r="E14" i="5"/>
  <c r="E9" i="5"/>
  <c r="E8" i="5"/>
  <c r="AD6" i="1"/>
  <c r="C14" i="5"/>
  <c r="C9" i="5"/>
  <c r="C6" i="5"/>
  <c r="C10" i="5"/>
  <c r="C7" i="5"/>
  <c r="C15" i="5"/>
  <c r="C11" i="5"/>
  <c r="C12" i="5"/>
  <c r="C8" i="5"/>
  <c r="C13" i="5"/>
  <c r="C16" i="5"/>
  <c r="AD5" i="1"/>
  <c r="A8" i="5"/>
  <c r="A6" i="5"/>
  <c r="A9" i="5"/>
  <c r="A10" i="5"/>
  <c r="A7" i="5"/>
  <c r="AD4" i="1"/>
  <c r="H8" i="5"/>
  <c r="J7" i="5"/>
  <c r="H11" i="5"/>
  <c r="J9" i="5"/>
  <c r="H13" i="5"/>
  <c r="J10" i="5"/>
  <c r="H6" i="5"/>
  <c r="J6" i="5"/>
  <c r="J8" i="5"/>
  <c r="AF8" i="1"/>
  <c r="F8" i="5"/>
  <c r="H9" i="5"/>
  <c r="F6" i="5"/>
  <c r="F15" i="5"/>
  <c r="H15" i="5"/>
  <c r="F11" i="5"/>
  <c r="H12" i="5"/>
  <c r="H7" i="5"/>
  <c r="F13" i="5"/>
  <c r="H14" i="5"/>
  <c r="AF7" i="1"/>
  <c r="D6" i="5"/>
  <c r="F7" i="5"/>
  <c r="D11" i="5"/>
  <c r="F12" i="5"/>
  <c r="D15" i="5"/>
  <c r="F16" i="5"/>
  <c r="D13" i="5"/>
  <c r="F14" i="5"/>
  <c r="D8" i="5"/>
  <c r="F9" i="5"/>
  <c r="AF6" i="1"/>
  <c r="B10" i="5"/>
  <c r="D14" i="5"/>
  <c r="B7" i="5"/>
  <c r="D9" i="5"/>
  <c r="B6" i="5"/>
  <c r="D7" i="5"/>
  <c r="B9" i="5"/>
  <c r="D12" i="5"/>
  <c r="B11" i="5"/>
  <c r="D16" i="5"/>
  <c r="AF5" i="1"/>
  <c r="B8" i="5"/>
  <c r="AF4" i="1"/>
  <c r="Y8" i="1"/>
  <c r="Y7" i="1"/>
  <c r="Y6" i="1"/>
  <c r="Y5" i="1"/>
  <c r="Y4" i="1"/>
  <c r="X1" i="1"/>
  <c r="E1" i="1"/>
  <c r="F4" i="1"/>
  <c r="F5" i="1"/>
  <c r="F6" i="1"/>
  <c r="B34" i="2"/>
  <c r="B41" i="5"/>
  <c r="B38" i="5"/>
  <c r="B39" i="5"/>
  <c r="B29" i="5"/>
  <c r="C26" i="5"/>
  <c r="D26" i="5"/>
  <c r="E26" i="5"/>
  <c r="F17" i="5"/>
  <c r="E17" i="5"/>
  <c r="H16" i="5"/>
  <c r="G16" i="5"/>
  <c r="J11" i="5"/>
  <c r="I11" i="5"/>
  <c r="A11" i="5"/>
  <c r="I8" i="2"/>
  <c r="I6" i="2"/>
  <c r="I10" i="2"/>
  <c r="I7" i="2"/>
  <c r="I9" i="2"/>
  <c r="G7" i="2"/>
  <c r="G15" i="2"/>
  <c r="G8" i="2"/>
  <c r="G6" i="2"/>
  <c r="G10" i="2"/>
  <c r="G13" i="2"/>
  <c r="G9" i="2"/>
  <c r="G12" i="2"/>
  <c r="G14" i="2"/>
  <c r="G11" i="2"/>
  <c r="E13" i="2"/>
  <c r="E16" i="2"/>
  <c r="E12" i="2"/>
  <c r="E10" i="2"/>
  <c r="E6" i="2"/>
  <c r="E8" i="2"/>
  <c r="E15" i="2"/>
  <c r="E11" i="2"/>
  <c r="E9" i="2"/>
  <c r="E7" i="2"/>
  <c r="E14" i="2"/>
  <c r="C6" i="2"/>
  <c r="C7" i="2"/>
  <c r="C10" i="2"/>
  <c r="C9" i="2"/>
  <c r="C8" i="2"/>
  <c r="C11" i="2"/>
  <c r="C15" i="2"/>
  <c r="C12" i="2"/>
  <c r="C14" i="2"/>
  <c r="C13" i="2"/>
  <c r="A9" i="2"/>
  <c r="A10" i="2"/>
  <c r="A8" i="2"/>
  <c r="A7" i="2"/>
  <c r="A6" i="2"/>
  <c r="R2" i="1"/>
  <c r="P2" i="1"/>
  <c r="K1" i="1"/>
  <c r="M1" i="1"/>
  <c r="H10" i="2"/>
  <c r="K28" i="3"/>
  <c r="F10" i="2"/>
  <c r="K27" i="3"/>
  <c r="H13" i="2"/>
  <c r="J10" i="2"/>
  <c r="J8" i="2"/>
  <c r="H8" i="2"/>
  <c r="J7" i="2"/>
  <c r="J5" i="2"/>
  <c r="J4" i="2"/>
  <c r="H6" i="2"/>
  <c r="J6" i="2"/>
  <c r="H11" i="2"/>
  <c r="J9" i="2"/>
  <c r="M8" i="1"/>
  <c r="R8" i="1"/>
  <c r="F6" i="2"/>
  <c r="F15" i="2"/>
  <c r="H15" i="2"/>
  <c r="H5" i="2"/>
  <c r="H7" i="2"/>
  <c r="H4" i="2"/>
  <c r="F8" i="2"/>
  <c r="H9" i="2"/>
  <c r="F11" i="2"/>
  <c r="H12" i="2"/>
  <c r="F13" i="2"/>
  <c r="H14" i="2"/>
  <c r="M7" i="1"/>
  <c r="R7" i="1"/>
  <c r="D11" i="2"/>
  <c r="F12" i="2"/>
  <c r="F4" i="2"/>
  <c r="F5" i="2"/>
  <c r="D15" i="2"/>
  <c r="F16" i="2"/>
  <c r="D13" i="2"/>
  <c r="F14" i="2"/>
  <c r="D8" i="2"/>
  <c r="F9" i="2"/>
  <c r="F7" i="2"/>
  <c r="M6" i="1"/>
  <c r="R6" i="1"/>
  <c r="D7" i="2"/>
  <c r="B10" i="2"/>
  <c r="D14" i="2"/>
  <c r="D4" i="2"/>
  <c r="D5" i="2"/>
  <c r="B7" i="2"/>
  <c r="D9" i="2"/>
  <c r="B9" i="2"/>
  <c r="D12" i="2"/>
  <c r="B11" i="2"/>
  <c r="D16" i="2"/>
  <c r="M5" i="1"/>
  <c r="R5" i="1"/>
  <c r="B4" i="2"/>
  <c r="B5" i="2"/>
  <c r="B8" i="2"/>
  <c r="M4" i="1"/>
  <c r="R4" i="1"/>
  <c r="K8" i="1"/>
  <c r="P8" i="1"/>
  <c r="K7" i="1"/>
  <c r="P7" i="1"/>
  <c r="K6" i="1"/>
  <c r="P6" i="1"/>
  <c r="C16" i="2"/>
  <c r="K5" i="1"/>
  <c r="P5" i="1"/>
  <c r="K4" i="1"/>
  <c r="P4" i="1"/>
  <c r="M3" i="1"/>
  <c r="R1" i="1"/>
  <c r="K3" i="1"/>
  <c r="P1" i="1"/>
  <c r="L2" i="1"/>
  <c r="K9" i="1"/>
  <c r="F8" i="1"/>
  <c r="F7" i="1"/>
  <c r="J19" i="2"/>
  <c r="K25" i="3"/>
  <c r="H19" i="2"/>
  <c r="K24" i="3"/>
  <c r="F19" i="2"/>
  <c r="K23" i="3"/>
  <c r="D19" i="2"/>
  <c r="K22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A5" i="3"/>
  <c r="A4" i="3"/>
  <c r="A3" i="3"/>
  <c r="A2" i="3"/>
  <c r="A1" i="3"/>
  <c r="J11" i="2"/>
  <c r="H16" i="2"/>
  <c r="F17" i="2"/>
  <c r="I11" i="2"/>
  <c r="G16" i="2"/>
  <c r="E17" i="2"/>
  <c r="A11" i="2"/>
</calcChain>
</file>

<file path=xl/sharedStrings.xml><?xml version="1.0" encoding="utf-8"?>
<sst xmlns="http://schemas.openxmlformats.org/spreadsheetml/2006/main" count="95" uniqueCount="44">
  <si>
    <t>Change Orange Cells Below Only</t>
  </si>
  <si>
    <t>Negative fairs for calls, puts, b/w or P+S currently breaking…</t>
  </si>
  <si>
    <t>STOCK</t>
  </si>
  <si>
    <t>VOL</t>
  </si>
  <si>
    <t>INTEREST</t>
  </si>
  <si>
    <t>DIV YIELD</t>
  </si>
  <si>
    <t>STRIKES</t>
  </si>
  <si>
    <t>DTE</t>
  </si>
  <si>
    <t>ATF (rec)</t>
  </si>
  <si>
    <t>R/C (rec)</t>
  </si>
  <si>
    <t>ATF</t>
  </si>
  <si>
    <t>R/C</t>
  </si>
  <si>
    <t>Bid Diff</t>
  </si>
  <si>
    <t>Offer Diff</t>
  </si>
  <si>
    <t>Order Range</t>
  </si>
  <si>
    <t>Put the r/c in here, recommended above</t>
  </si>
  <si>
    <t>Put the ATF in here, recommended above</t>
  </si>
  <si>
    <t>A</t>
  </si>
  <si>
    <t>C</t>
  </si>
  <si>
    <t>E</t>
  </si>
  <si>
    <t>G</t>
  </si>
  <si>
    <t>I</t>
  </si>
  <si>
    <t>Implies</t>
  </si>
  <si>
    <t>b/w</t>
  </si>
  <si>
    <t>Call</t>
  </si>
  <si>
    <t>Combo</t>
  </si>
  <si>
    <t>CS</t>
  </si>
  <si>
    <t>PS</t>
  </si>
  <si>
    <t>Put</t>
  </si>
  <si>
    <t>Risk Reversal</t>
  </si>
  <si>
    <t>Negative</t>
  </si>
  <si>
    <t>(puts over)</t>
  </si>
  <si>
    <t>(calls over)</t>
  </si>
  <si>
    <t>Bids</t>
  </si>
  <si>
    <t>Offers</t>
  </si>
  <si>
    <t>For</t>
  </si>
  <si>
    <t>At</t>
  </si>
  <si>
    <t>-</t>
  </si>
  <si>
    <t xml:space="preserve">    </t>
  </si>
  <si>
    <t>CC</t>
  </si>
  <si>
    <t>PC</t>
  </si>
  <si>
    <t>SR</t>
  </si>
  <si>
    <t>Strangle</t>
  </si>
  <si>
    <t>P+S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</si>
</sst>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8"/>
      <color theme="1"/>
      <name val="Calibri"/>
      <scheme val="minor"/>
    </font>
    <font>
      <sz val="12"/>
      <color indexed="206"/>
      <name val="Calibri"/>
      <family val="2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Lucida Grande"/>
    </font>
    <font>
      <sz val="10"/>
      <color rgb="FF000000"/>
      <name val="Geneva"/>
    </font>
    <font>
      <sz val="12"/>
      <name val="Calibri"/>
      <scheme val="minor"/>
    </font>
    <font>
      <sz val="8"/>
      <name val="Calibri"/>
      <family val="2"/>
      <scheme val="minor"/>
    </font>
    <font>
      <b/>
      <u/>
      <sz val="18"/>
      <color theme="1"/>
      <name val="Calibri"/>
      <scheme val="minor"/>
    </font>
    <font>
      <b/>
      <sz val="14"/>
      <color theme="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129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2">
    <xf numFmtId="0" fontId="0" fillId="0" borderId="0" xfId="0"/>
    <xf numFmtId="0" fontId="0" fillId="2" borderId="0" xfId="0" applyFill="1"/>
    <xf numFmtId="0" fontId="2" fillId="0" borderId="0" xfId="0" applyFont="1"/>
    <xf numFmtId="0" fontId="0" fillId="5" borderId="0" xfId="0" applyFill="1"/>
    <xf numFmtId="9" fontId="0" fillId="5" borderId="0" xfId="0" applyNumberFormat="1" applyFill="1"/>
    <xf numFmtId="0" fontId="0" fillId="6" borderId="0" xfId="0" applyFill="1"/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/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Fill="1"/>
    <xf numFmtId="0" fontId="11" fillId="5" borderId="0" xfId="0" applyFont="1" applyFill="1"/>
    <xf numFmtId="9" fontId="11" fillId="5" borderId="0" xfId="0" applyNumberFormat="1" applyFont="1" applyFill="1"/>
    <xf numFmtId="0" fontId="5" fillId="0" borderId="0" xfId="0" applyFont="1" applyAlignment="1">
      <alignment horizontal="center" vertical="center"/>
    </xf>
    <xf numFmtId="0" fontId="0" fillId="7" borderId="0" xfId="0" applyFill="1"/>
    <xf numFmtId="2" fontId="8" fillId="7" borderId="0" xfId="0" applyNumberFormat="1" applyFont="1" applyFill="1" applyAlignment="1">
      <alignment horizontal="center" vertical="center"/>
    </xf>
    <xf numFmtId="2" fontId="0" fillId="7" borderId="0" xfId="0" applyNumberFormat="1" applyFill="1"/>
    <xf numFmtId="0" fontId="0" fillId="0" borderId="0" xfId="0" applyAlignment="1"/>
    <xf numFmtId="0" fontId="1" fillId="8" borderId="0" xfId="0" applyFont="1" applyFill="1" applyAlignment="1">
      <alignment horizontal="center" vertical="center"/>
    </xf>
    <xf numFmtId="0" fontId="0" fillId="8" borderId="0" xfId="0" applyFill="1"/>
    <xf numFmtId="2" fontId="8" fillId="0" borderId="1" xfId="0" applyNumberFormat="1" applyFont="1" applyBorder="1" applyAlignment="1">
      <alignment horizontal="center" vertical="center"/>
    </xf>
    <xf numFmtId="0" fontId="0" fillId="9" borderId="0" xfId="0" applyFill="1"/>
    <xf numFmtId="0" fontId="0" fillId="9" borderId="3" xfId="0" applyFill="1" applyBorder="1"/>
    <xf numFmtId="0" fontId="0" fillId="9" borderId="4" xfId="0" applyFill="1" applyBorder="1"/>
    <xf numFmtId="0" fontId="0" fillId="9" borderId="5" xfId="0" applyFill="1" applyBorder="1"/>
    <xf numFmtId="0" fontId="0" fillId="9" borderId="7" xfId="0" applyFill="1" applyBorder="1"/>
    <xf numFmtId="0" fontId="0" fillId="9" borderId="6" xfId="0" applyFill="1" applyBorder="1"/>
    <xf numFmtId="0" fontId="0" fillId="9" borderId="8" xfId="0" applyFill="1" applyBorder="1"/>
    <xf numFmtId="0" fontId="0" fillId="9" borderId="0" xfId="0" applyFill="1" applyBorder="1"/>
    <xf numFmtId="0" fontId="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8" fillId="7" borderId="4" xfId="0" applyNumberFormat="1" applyFont="1" applyFill="1" applyBorder="1" applyAlignment="1">
      <alignment horizontal="center" vertical="center"/>
    </xf>
    <xf numFmtId="0" fontId="0" fillId="7" borderId="4" xfId="0" applyFill="1" applyBorder="1"/>
    <xf numFmtId="0" fontId="0" fillId="0" borderId="4" xfId="0" applyBorder="1"/>
    <xf numFmtId="0" fontId="0" fillId="8" borderId="4" xfId="0" applyFill="1" applyBorder="1"/>
    <xf numFmtId="0" fontId="0" fillId="0" borderId="7" xfId="0" applyBorder="1"/>
    <xf numFmtId="0" fontId="0" fillId="0" borderId="6" xfId="0" applyBorder="1"/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9" borderId="0" xfId="0" applyNumberFormat="1" applyFill="1" applyAlignment="1">
      <alignment horizontal="center"/>
    </xf>
    <xf numFmtId="43" fontId="5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vertical="top"/>
    </xf>
    <xf numFmtId="2" fontId="0" fillId="9" borderId="0" xfId="0" applyNumberFormat="1" applyFill="1" applyAlignment="1">
      <alignment horizontal="center" vertical="center"/>
    </xf>
    <xf numFmtId="2" fontId="0" fillId="9" borderId="4" xfId="0" applyNumberFormat="1" applyFill="1" applyBorder="1" applyAlignment="1">
      <alignment horizontal="center"/>
    </xf>
    <xf numFmtId="0" fontId="1" fillId="9" borderId="0" xfId="0" applyFont="1" applyFill="1" applyAlignment="1">
      <alignment horizontal="center" vertical="center"/>
    </xf>
    <xf numFmtId="2" fontId="0" fillId="9" borderId="3" xfId="0" applyNumberFormat="1" applyFill="1" applyBorder="1" applyAlignment="1">
      <alignment horizontal="center"/>
    </xf>
    <xf numFmtId="43" fontId="5" fillId="9" borderId="0" xfId="0" applyNumberFormat="1" applyFont="1" applyFill="1" applyAlignment="1">
      <alignment horizontal="center"/>
    </xf>
    <xf numFmtId="0" fontId="0" fillId="9" borderId="0" xfId="0" applyFill="1" applyAlignment="1">
      <alignment horizontal="center" vertical="top"/>
    </xf>
    <xf numFmtId="0" fontId="0" fillId="9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2" fontId="0" fillId="9" borderId="4" xfId="0" applyNumberFormat="1" applyFill="1" applyBorder="1" applyAlignment="1">
      <alignment horizontal="center" vertical="center"/>
    </xf>
    <xf numFmtId="0" fontId="0" fillId="8" borderId="1" xfId="0" applyFill="1" applyBorder="1"/>
    <xf numFmtId="1" fontId="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0" fontId="7" fillId="9" borderId="4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top"/>
    </xf>
    <xf numFmtId="0" fontId="0" fillId="9" borderId="0" xfId="0" applyFill="1" applyBorder="1" applyAlignment="1">
      <alignment horizontal="center" vertical="center"/>
    </xf>
    <xf numFmtId="0" fontId="0" fillId="9" borderId="0" xfId="0" applyFill="1" applyBorder="1" applyAlignment="1">
      <alignment horizontal="left" vertical="center"/>
    </xf>
    <xf numFmtId="2" fontId="0" fillId="9" borderId="0" xfId="0" applyNumberFormat="1" applyFill="1" applyBorder="1" applyAlignment="1">
      <alignment horizontal="center" vertical="center"/>
    </xf>
    <xf numFmtId="0" fontId="0" fillId="9" borderId="9" xfId="0" applyFill="1" applyBorder="1"/>
    <xf numFmtId="0" fontId="0" fillId="9" borderId="2" xfId="0" applyFill="1" applyBorder="1"/>
    <xf numFmtId="0" fontId="0" fillId="9" borderId="4" xfId="0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43" fontId="14" fillId="9" borderId="0" xfId="0" applyNumberFormat="1" applyFont="1" applyFill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7" borderId="4" xfId="0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0" fillId="9" borderId="0" xfId="0" applyFill="1" applyBorder="1" applyAlignment="1">
      <alignment horizontal="center" vertical="center"/>
    </xf>
    <xf numFmtId="0" fontId="1" fillId="9" borderId="0" xfId="0" applyFont="1" applyFill="1" applyAlignment="1">
      <alignment horizontal="center"/>
    </xf>
    <xf numFmtId="0" fontId="13" fillId="9" borderId="0" xfId="0" applyFont="1" applyFill="1" applyAlignment="1">
      <alignment horizontal="center" vertical="top"/>
    </xf>
    <xf numFmtId="0" fontId="0" fillId="0" borderId="0" xfId="0" applyAlignment="1">
      <alignment horizontal="center"/>
    </xf>
  </cellXfs>
  <cellStyles count="1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57" dropStyle="combo" dx="16" fmlaLink="$J$4" fmlaRange="Fairs!$A$2:$A$11" sel="8" val="0"/>
</file>

<file path=xl/ctrlProps/ctrlProp5.xml><?xml version="1.0" encoding="utf-8"?>
<formControlPr xmlns="http://schemas.microsoft.com/office/spreadsheetml/2009/9/main" objectType="Drop" dropLines="57" dropStyle="combo" dx="16" fmlaLink="$J$5" fmlaRange="Fairs!$C$2:$C$16" val="0"/>
</file>

<file path=xl/ctrlProps/ctrlProp6.xml><?xml version="1.0" encoding="utf-8"?>
<formControlPr xmlns="http://schemas.microsoft.com/office/spreadsheetml/2009/9/main" objectType="Drop" dropLines="57" dropStyle="combo" dx="16" fmlaLink="$J6" fmlaRange="Fairs!$E$2:$E$17" sel="2" val="0"/>
</file>

<file path=xl/ctrlProps/ctrlProp7.xml><?xml version="1.0" encoding="utf-8"?>
<formControlPr xmlns="http://schemas.microsoft.com/office/spreadsheetml/2009/9/main" objectType="Drop" dropLines="57" dropStyle="combo" dx="16" fmlaLink="$J$7" fmlaRange="Fairs!$G$2:$G$16" sel="10" val="0"/>
</file>

<file path=xl/ctrlProps/ctrlProp8.xml><?xml version="1.0" encoding="utf-8"?>
<formControlPr xmlns="http://schemas.microsoft.com/office/spreadsheetml/2009/9/main" objectType="Drop" dropStyle="combo" dx="16" fmlaLink="$J$8" fmlaRange="Fairs!$I$2:$I$11" sel="2" val="0"/>
</file>

<file path=xl/ctrlProps/ctrlProp9.xml><?xml version="1.0" encoding="utf-8"?>
<formControlPr xmlns="http://schemas.microsoft.com/office/spreadsheetml/2009/9/main" objectType="CheckBox" checked="Checked" fmlaLink="$A$1" lockText="1"/>
</file>

<file path=xl/ctrlProps/ctrlProp10.xml><?xml version="1.0" encoding="utf-8"?>
<formControlPr xmlns="http://schemas.microsoft.com/office/spreadsheetml/2009/9/main" objectType="Spin" dx="16" fmlaLink="$K$2" max="30000" page="10" val="500"/>
</file>

<file path=xl/ctrlProps/ctrlProp11.xml><?xml version="1.0" encoding="utf-8"?>
<formControlPr xmlns="http://schemas.microsoft.com/office/spreadsheetml/2009/9/main" objectType="Spin" dx="0" fmlaLink="$M$2" max="30000" page="0" val="500"/>
</file>

<file path=xl/ctrlProps/ctrlProp12.xml><?xml version="1.0" encoding="utf-8"?>
<formControlPr xmlns="http://schemas.microsoft.com/office/spreadsheetml/2009/9/main" objectType="Spin" dx="0" fmlaLink="Fairs!$D$26" max="30000" page="0" val="500"/>
</file>

<file path=xl/ctrlProps/ctrlProp13.xml><?xml version="1.0" encoding="utf-8"?>
<formControlPr xmlns="http://schemas.microsoft.com/office/spreadsheetml/2009/9/main" objectType="Drop" dropLines="57" dropStyle="combo" dx="16" fmlaLink="$AC$4" fmlaRange="Fairs2!$A$2:$A$11" sel="4" val="0"/>
</file>

<file path=xl/ctrlProps/ctrlProp14.xml><?xml version="1.0" encoding="utf-8"?>
<formControlPr xmlns="http://schemas.microsoft.com/office/spreadsheetml/2009/9/main" objectType="Drop" dropLines="57" dropStyle="combo" dx="16" fmlaLink="$AC$5" fmlaRange="Fairs2!$C$2:$C$16" sel="11" val="0"/>
</file>

<file path=xl/ctrlProps/ctrlProp15.xml><?xml version="1.0" encoding="utf-8"?>
<formControlPr xmlns="http://schemas.microsoft.com/office/spreadsheetml/2009/9/main" objectType="Drop" dropLines="57" dropStyle="combo" dx="16" fmlaLink="$AC$6" fmlaRange="Fairs2!$E$2:$E$17" sel="4" val="0"/>
</file>

<file path=xl/ctrlProps/ctrlProp16.xml><?xml version="1.0" encoding="utf-8"?>
<formControlPr xmlns="http://schemas.microsoft.com/office/spreadsheetml/2009/9/main" objectType="Drop" dropLines="57" dropStyle="combo" dx="16" fmlaLink="$AC$7" fmlaRange="Fairs2!$G$2:$G$16" sel="5" val="0"/>
</file>

<file path=xl/ctrlProps/ctrlProp17.xml><?xml version="1.0" encoding="utf-8"?>
<formControlPr xmlns="http://schemas.microsoft.com/office/spreadsheetml/2009/9/main" objectType="Drop" dropStyle="combo" dx="16" fmlaLink="$AC$8" fmlaRange="Fairs2!$I$2:$I$11" sel="3" val="0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533400</xdr:rowOff>
        </xdr:from>
        <xdr:to>
          <xdr:col>0</xdr:col>
          <xdr:colOff>939800</xdr:colOff>
          <xdr:row>2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952500</xdr:colOff>
          <xdr:row>0</xdr:row>
          <xdr:rowOff>533400</xdr:rowOff>
        </xdr:from>
        <xdr:to>
          <xdr:col>1</xdr:col>
          <xdr:colOff>469900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Random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8</xdr:row>
          <xdr:rowOff>12700</xdr:rowOff>
        </xdr:from>
        <xdr:to>
          <xdr:col>1</xdr:col>
          <xdr:colOff>457200</xdr:colOff>
          <xdr:row>9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406400</xdr:rowOff>
        </xdr:from>
        <xdr:to>
          <xdr:col>1</xdr:col>
          <xdr:colOff>457200</xdr:colOff>
          <xdr:row>3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Toggle Fairs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3</xdr:row>
          <xdr:rowOff>114300</xdr:rowOff>
        </xdr:from>
        <xdr:to>
          <xdr:col>1</xdr:col>
          <xdr:colOff>431800</xdr:colOff>
          <xdr:row>3</xdr:row>
          <xdr:rowOff>355600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4</xdr:row>
          <xdr:rowOff>127000</xdr:rowOff>
        </xdr:from>
        <xdr:to>
          <xdr:col>1</xdr:col>
          <xdr:colOff>444500</xdr:colOff>
          <xdr:row>4</xdr:row>
          <xdr:rowOff>368300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</xdr:row>
          <xdr:rowOff>127000</xdr:rowOff>
        </xdr:from>
        <xdr:to>
          <xdr:col>1</xdr:col>
          <xdr:colOff>457200</xdr:colOff>
          <xdr:row>5</xdr:row>
          <xdr:rowOff>368300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</xdr:row>
          <xdr:rowOff>127000</xdr:rowOff>
        </xdr:from>
        <xdr:to>
          <xdr:col>1</xdr:col>
          <xdr:colOff>469900</xdr:colOff>
          <xdr:row>6</xdr:row>
          <xdr:rowOff>368300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114300</xdr:rowOff>
        </xdr:from>
        <xdr:to>
          <xdr:col>1</xdr:col>
          <xdr:colOff>469900</xdr:colOff>
          <xdr:row>7</xdr:row>
          <xdr:rowOff>355600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0</xdr:row>
          <xdr:rowOff>12700</xdr:rowOff>
        </xdr:from>
        <xdr:to>
          <xdr:col>0</xdr:col>
          <xdr:colOff>939800</xdr:colOff>
          <xdr:row>1</xdr:row>
          <xdr:rowOff>38100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  <a:ea typeface="Geneva"/>
                  <a:cs typeface="Geneva"/>
                </a:rPr>
                <a:t>Markets in the calls/puts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38" name="Spinne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39" name="Spinne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</xdr:colOff>
          <xdr:row>2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1040" name="Spinne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12700</xdr:colOff>
          <xdr:row>3</xdr:row>
          <xdr:rowOff>101600</xdr:rowOff>
        </xdr:from>
        <xdr:to>
          <xdr:col>33</xdr:col>
          <xdr:colOff>825500</xdr:colOff>
          <xdr:row>3</xdr:row>
          <xdr:rowOff>342900</xdr:rowOff>
        </xdr:to>
        <xdr:sp macro="" textlink="">
          <xdr:nvSpPr>
            <xdr:cNvPr id="1072" name="Drop Dow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25400</xdr:colOff>
          <xdr:row>4</xdr:row>
          <xdr:rowOff>101600</xdr:rowOff>
        </xdr:from>
        <xdr:to>
          <xdr:col>33</xdr:col>
          <xdr:colOff>825500</xdr:colOff>
          <xdr:row>4</xdr:row>
          <xdr:rowOff>342900</xdr:rowOff>
        </xdr:to>
        <xdr:sp macro="" textlink="">
          <xdr:nvSpPr>
            <xdr:cNvPr id="1073" name="Drop Dow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12700</xdr:colOff>
          <xdr:row>5</xdr:row>
          <xdr:rowOff>114300</xdr:rowOff>
        </xdr:from>
        <xdr:to>
          <xdr:col>33</xdr:col>
          <xdr:colOff>825500</xdr:colOff>
          <xdr:row>5</xdr:row>
          <xdr:rowOff>355600</xdr:rowOff>
        </xdr:to>
        <xdr:sp macro="" textlink="">
          <xdr:nvSpPr>
            <xdr:cNvPr id="1074" name="Drop Dow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25400</xdr:colOff>
          <xdr:row>6</xdr:row>
          <xdr:rowOff>88900</xdr:rowOff>
        </xdr:from>
        <xdr:to>
          <xdr:col>33</xdr:col>
          <xdr:colOff>838200</xdr:colOff>
          <xdr:row>6</xdr:row>
          <xdr:rowOff>330200</xdr:rowOff>
        </xdr:to>
        <xdr:sp macro="" textlink="">
          <xdr:nvSpPr>
            <xdr:cNvPr id="1075" name="Drop Dow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25400</xdr:colOff>
          <xdr:row>7</xdr:row>
          <xdr:rowOff>114300</xdr:rowOff>
        </xdr:from>
        <xdr:to>
          <xdr:col>33</xdr:col>
          <xdr:colOff>838200</xdr:colOff>
          <xdr:row>7</xdr:row>
          <xdr:rowOff>355600</xdr:rowOff>
        </xdr:to>
        <xdr:sp macro="" textlink="">
          <xdr:nvSpPr>
            <xdr:cNvPr id="1076" name="Drop Dow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20" Type="http://schemas.openxmlformats.org/officeDocument/2006/relationships/ctrlProp" Target="../ctrlProps/ctrlProp18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BD1048575"/>
  <sheetViews>
    <sheetView tabSelected="1" workbookViewId="0">
      <selection activeCell="Z13" sqref="Z13"/>
    </sheetView>
  </sheetViews>
  <sheetFormatPr baseColWidth="10" defaultRowHeight="23" x14ac:dyDescent="0.75"/>
  <cols>
    <col min="1" max="1" width="15.83203125" customWidth="1"/>
    <col min="2" max="2" width="6.33203125" customWidth="1"/>
    <col min="3" max="5" width="6" style="12" customWidth="1"/>
    <col min="6" max="6" width="9.1640625" style="10" customWidth="1"/>
    <col min="7" max="9" width="6" style="12" customWidth="1"/>
    <col min="10" max="10" width="0.5" hidden="1" customWidth="1"/>
    <col min="11" max="11" width="5.5" style="20" hidden="1" customWidth="1"/>
    <col min="12" max="12" width="9" style="20" hidden="1" customWidth="1"/>
    <col min="13" max="13" width="6.6640625" style="22" hidden="1" customWidth="1"/>
    <col min="14" max="14" width="6.6640625" style="20" hidden="1" customWidth="1"/>
    <col min="15" max="15" width="5" style="20" hidden="1" customWidth="1"/>
    <col min="16" max="18" width="8.33203125" customWidth="1"/>
    <col min="19" max="19" width="3.6640625" hidden="1" customWidth="1"/>
    <col min="20" max="20" width="5.6640625" hidden="1" customWidth="1"/>
    <col min="21" max="21" width="0.6640625" customWidth="1"/>
    <col min="22" max="24" width="6" customWidth="1"/>
    <col min="25" max="25" width="9.1640625" customWidth="1"/>
    <col min="26" max="28" width="6" customWidth="1"/>
    <col min="29" max="29" width="6" hidden="1" customWidth="1"/>
    <col min="30" max="32" width="8.33203125" customWidth="1"/>
    <col min="33" max="33" width="10.6640625" customWidth="1"/>
    <col min="34" max="34" width="11.5" customWidth="1"/>
  </cols>
  <sheetData>
    <row r="1" spans="1:56" ht="43" customHeight="1">
      <c r="A1" s="77" t="b">
        <v>1</v>
      </c>
      <c r="B1" s="51"/>
      <c r="C1" s="46"/>
      <c r="D1" s="46"/>
      <c r="E1" s="79" t="str">
        <f>"r/c: "&amp; ROUND(Fairs!B37,2)</f>
        <v>r/c: 0.02</v>
      </c>
      <c r="F1" s="79"/>
      <c r="G1" s="79"/>
      <c r="H1" s="46"/>
      <c r="I1" s="46"/>
      <c r="J1" s="27"/>
      <c r="K1" s="47">
        <f>Fairs!C26-Fairs!B38</f>
        <v>78.27</v>
      </c>
      <c r="L1" s="47" t="s">
        <v>37</v>
      </c>
      <c r="M1" s="47">
        <f>Fairs!C26+Fairs!B39</f>
        <v>78.290000000000006</v>
      </c>
      <c r="N1" s="27"/>
      <c r="O1" s="27"/>
      <c r="P1" s="71">
        <f>K3</f>
        <v>78.27</v>
      </c>
      <c r="Q1" s="53" t="s">
        <v>37</v>
      </c>
      <c r="R1" s="71">
        <f>M3</f>
        <v>78.290000000000006</v>
      </c>
      <c r="T1" s="23"/>
      <c r="U1" s="24"/>
      <c r="V1" s="46"/>
      <c r="W1" s="46"/>
      <c r="X1" s="79" t="str">
        <f>"r/c: "&amp; ROUND(Fairs2!B37,2)</f>
        <v>r/c: 0.14</v>
      </c>
      <c r="Y1" s="79"/>
      <c r="Z1" s="79"/>
      <c r="AA1" s="46"/>
      <c r="AB1" s="46"/>
      <c r="AC1" s="27"/>
      <c r="AD1" s="47"/>
      <c r="AE1" s="47"/>
      <c r="AF1" s="4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</row>
    <row r="2" spans="1:56" ht="33" customHeight="1">
      <c r="A2" s="77"/>
      <c r="B2" s="30"/>
      <c r="C2" s="46"/>
      <c r="D2" s="46"/>
      <c r="E2" s="80" t="str">
        <f ca="1">UPPER(TEXT((TODAY()+Fairs!B31),"mmm"))</f>
        <v>JUL</v>
      </c>
      <c r="F2" s="80"/>
      <c r="G2" s="80"/>
      <c r="H2" s="46"/>
      <c r="I2" s="46"/>
      <c r="J2" s="27"/>
      <c r="K2" s="27">
        <v>500</v>
      </c>
      <c r="L2" s="48" t="str">
        <f ca="1">RANDBETWEEN(10,60)&amp;"       "&amp;RANDBETWEEN(10,60)</f>
        <v>56       43</v>
      </c>
      <c r="M2" s="49">
        <v>500</v>
      </c>
      <c r="N2" s="27"/>
      <c r="O2" s="27"/>
      <c r="P2" s="54">
        <f ca="1">RANDBETWEEN(2,12)*5</f>
        <v>50</v>
      </c>
      <c r="Q2" s="27"/>
      <c r="R2" s="54">
        <f ca="1">RANDBETWEEN(2,12)*5</f>
        <v>50</v>
      </c>
      <c r="T2" s="23"/>
      <c r="U2" s="25"/>
      <c r="V2" s="46"/>
      <c r="W2" s="46"/>
      <c r="X2" s="80" t="str">
        <f ca="1">UPPER(TEXT((TODAY()+Fairs2!B31),"mmm"))</f>
        <v>AUG</v>
      </c>
      <c r="Y2" s="80"/>
      <c r="Z2" s="80"/>
      <c r="AA2" s="46"/>
      <c r="AB2" s="46"/>
      <c r="AC2" s="27"/>
      <c r="AD2" s="27"/>
      <c r="AE2" s="48"/>
      <c r="AF2" s="49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</row>
    <row r="3" spans="1:56" ht="36" customHeight="1">
      <c r="A3" s="27"/>
      <c r="B3" s="27"/>
      <c r="C3" s="52"/>
      <c r="D3" s="50"/>
      <c r="E3" s="50"/>
      <c r="F3" s="62" t="str">
        <f>Fairs!B31&amp;" days"</f>
        <v>4 days</v>
      </c>
      <c r="G3" s="50"/>
      <c r="H3" s="50"/>
      <c r="I3" s="50"/>
      <c r="J3" s="27"/>
      <c r="K3" s="27">
        <f>K1+(K2-500)/100</f>
        <v>78.27</v>
      </c>
      <c r="L3" s="27"/>
      <c r="M3" s="27">
        <f t="shared" ref="M3" si="0">M1+(M2-500)/100</f>
        <v>78.290000000000006</v>
      </c>
      <c r="N3" s="27"/>
      <c r="O3" s="27"/>
      <c r="P3" s="27"/>
      <c r="Q3" s="27"/>
      <c r="R3" s="27"/>
      <c r="U3" s="25"/>
      <c r="V3" s="50"/>
      <c r="W3" s="50"/>
      <c r="X3" s="50"/>
      <c r="Y3" s="62" t="str">
        <f>Fairs2!B31&amp;" days"</f>
        <v>34 days</v>
      </c>
      <c r="Z3" s="50"/>
      <c r="AA3" s="50"/>
      <c r="AB3" s="50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ht="36" customHeight="1">
      <c r="A4" s="31"/>
      <c r="B4" s="32"/>
      <c r="C4" s="43"/>
      <c r="D4" s="13" t="s">
        <v>37</v>
      </c>
      <c r="E4" s="13"/>
      <c r="F4" s="19">
        <f>Fairs!A1</f>
        <v>72.5</v>
      </c>
      <c r="G4" s="13"/>
      <c r="H4" s="13" t="s">
        <v>37</v>
      </c>
      <c r="I4" s="13"/>
      <c r="J4" s="9">
        <v>8</v>
      </c>
      <c r="K4" s="73" t="str">
        <f ca="1">IF(ISBLANK($J4),"",OFFSET(Fairs!$A2,Board!$J4-1,0))</f>
        <v>72.5/75 Strangle</v>
      </c>
      <c r="L4" s="73"/>
      <c r="M4" s="21">
        <f ca="1">OFFSET(Fairs!B$1, Board!J4,0)</f>
        <v>3.693330967483337</v>
      </c>
      <c r="P4" s="72" t="str">
        <f ca="1">K4</f>
        <v>72.5/75 Strangle</v>
      </c>
      <c r="Q4" s="72"/>
      <c r="R4" s="26">
        <f ca="1">M4</f>
        <v>3.693330967483337</v>
      </c>
      <c r="U4" s="25"/>
      <c r="V4" s="13"/>
      <c r="W4" s="13" t="s">
        <v>37</v>
      </c>
      <c r="X4" s="13"/>
      <c r="Y4" s="15">
        <f>Fairs2!A1</f>
        <v>72.5</v>
      </c>
      <c r="Z4" s="13"/>
      <c r="AA4" s="13" t="s">
        <v>37</v>
      </c>
      <c r="AB4" s="13"/>
      <c r="AC4" s="14">
        <v>4</v>
      </c>
      <c r="AD4" s="72" t="str">
        <f ca="1">IF(ISBLANK($AC4),"",OFFSET(Fairs2!$A2,Board!$AC4-1,0))</f>
        <v>72.5 b/w</v>
      </c>
      <c r="AE4" s="72"/>
      <c r="AF4" s="26">
        <f ca="1">OFFSET(Fairs2!B$1, Board!AC4,0)</f>
        <v>1.8794469750396274</v>
      </c>
      <c r="AG4" s="33"/>
      <c r="AH4" s="31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</row>
    <row r="5" spans="1:56" ht="36" customHeight="1">
      <c r="A5" s="31"/>
      <c r="B5" s="32"/>
      <c r="C5" s="43">
        <v>3.5</v>
      </c>
      <c r="D5" s="13" t="s">
        <v>37</v>
      </c>
      <c r="E5" s="13">
        <v>3.7</v>
      </c>
      <c r="F5" s="19">
        <f>Fairs!C1</f>
        <v>75</v>
      </c>
      <c r="G5" s="13"/>
      <c r="H5" s="13" t="s">
        <v>37</v>
      </c>
      <c r="I5" s="13"/>
      <c r="J5" s="9">
        <v>1</v>
      </c>
      <c r="K5" s="73" t="str">
        <f ca="1">IF(ISBLANK($J5),"",OFFSET(Fairs!$C2,Board!$J5-1,0))</f>
        <v>75 Call</v>
      </c>
      <c r="L5" s="73"/>
      <c r="M5" s="21">
        <f ca="1">OFFSET(Fairs!D$1, Board!J5,0)</f>
        <v>3.6292243383932643</v>
      </c>
      <c r="P5" s="72" t="str">
        <f ca="1">K5</f>
        <v>75 Call</v>
      </c>
      <c r="Q5" s="72"/>
      <c r="R5" s="69">
        <f ca="1">M5</f>
        <v>3.6292243383932643</v>
      </c>
      <c r="U5" s="25"/>
      <c r="V5" s="13"/>
      <c r="W5" s="13" t="s">
        <v>37</v>
      </c>
      <c r="X5" s="13"/>
      <c r="Y5" s="19">
        <f>Fairs2!C1</f>
        <v>75</v>
      </c>
      <c r="Z5" s="13"/>
      <c r="AA5" s="13" t="s">
        <v>37</v>
      </c>
      <c r="AB5" s="13"/>
      <c r="AC5" s="14">
        <v>11</v>
      </c>
      <c r="AD5" s="72" t="str">
        <f ca="1">IF(ISBLANK($AC5),"",OFFSET(Fairs2!$C2,Board!$AC5-1,0))</f>
        <v>72.5/75 Strangle</v>
      </c>
      <c r="AE5" s="72"/>
      <c r="AF5" s="26">
        <f ca="1">OFFSET(Fairs2!D$1, Board!AC5,0)</f>
        <v>7.7726484197655026</v>
      </c>
      <c r="AG5" s="33"/>
      <c r="AH5" s="31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</row>
    <row r="6" spans="1:56" ht="36" customHeight="1">
      <c r="A6" s="31"/>
      <c r="B6" s="32"/>
      <c r="C6" s="43"/>
      <c r="D6" s="13" t="s">
        <v>37</v>
      </c>
      <c r="E6" s="13"/>
      <c r="F6" s="19">
        <f>Fairs!E1</f>
        <v>77.5</v>
      </c>
      <c r="G6" s="13">
        <v>0.9</v>
      </c>
      <c r="H6" s="13" t="s">
        <v>37</v>
      </c>
      <c r="I6" s="13">
        <v>1.2</v>
      </c>
      <c r="J6" s="9">
        <v>2</v>
      </c>
      <c r="K6" s="73" t="str">
        <f ca="1">IF(ISBLANK($J6),"",OFFSET(Fairs!$E2,Board!$J6-1,0))</f>
        <v>77.5 Put</v>
      </c>
      <c r="L6" s="73"/>
      <c r="M6" s="21">
        <f ca="1">OFFSET(Fairs!F$1, Board!J6,0)</f>
        <v>1.0646662949023127</v>
      </c>
      <c r="P6" s="72" t="str">
        <f ca="1">K6</f>
        <v>77.5 Put</v>
      </c>
      <c r="Q6" s="72"/>
      <c r="R6" s="69">
        <f ca="1">M6</f>
        <v>1.0646662949023127</v>
      </c>
      <c r="U6" s="25"/>
      <c r="V6" s="13"/>
      <c r="W6" s="13" t="s">
        <v>37</v>
      </c>
      <c r="X6" s="13"/>
      <c r="Y6" s="19">
        <f>Fairs2!E1</f>
        <v>77.5</v>
      </c>
      <c r="Z6" s="13"/>
      <c r="AA6" s="13" t="s">
        <v>37</v>
      </c>
      <c r="AB6" s="13"/>
      <c r="AC6" s="14">
        <v>4</v>
      </c>
      <c r="AD6" s="72" t="str">
        <f ca="1">IF(ISBLANK($AC6),"",OFFSET(Fairs2!$E2,Board!$AC6-1,0))</f>
        <v>77.5 b/w</v>
      </c>
      <c r="AE6" s="72"/>
      <c r="AF6" s="26">
        <f ca="1">OFFSET(Fairs2!F$1, Board!AC6,0)</f>
        <v>3.864283443604279</v>
      </c>
      <c r="AG6" s="33"/>
      <c r="AH6" s="31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</row>
    <row r="7" spans="1:56" ht="36" customHeight="1">
      <c r="A7" s="31"/>
      <c r="B7" s="32"/>
      <c r="C7" s="43"/>
      <c r="D7" s="13" t="s">
        <v>37</v>
      </c>
      <c r="E7" s="13"/>
      <c r="F7" s="10">
        <f>Fairs!G1</f>
        <v>80</v>
      </c>
      <c r="G7" s="13"/>
      <c r="H7" s="13" t="s">
        <v>37</v>
      </c>
      <c r="I7" s="13"/>
      <c r="J7" s="9">
        <v>10</v>
      </c>
      <c r="K7" s="73" t="str">
        <f ca="1">IF(ISBLANK($J7),"",OFFSET(Fairs!$G2,Board!$J7-1,0))</f>
        <v>80/82.5 Strangle</v>
      </c>
      <c r="L7" s="73"/>
      <c r="M7" s="21">
        <f ca="1">OFFSET(Fairs!H$1, Board!J7,0)</f>
        <v>2.695265990475233</v>
      </c>
      <c r="P7" s="72" t="str">
        <f ca="1">K7</f>
        <v>80/82.5 Strangle</v>
      </c>
      <c r="Q7" s="72"/>
      <c r="R7" s="26">
        <f ca="1">M7</f>
        <v>2.695265990475233</v>
      </c>
      <c r="U7" s="25"/>
      <c r="V7" s="13"/>
      <c r="W7" s="13" t="s">
        <v>37</v>
      </c>
      <c r="X7" s="13"/>
      <c r="Y7" s="19">
        <f>Fairs2!G1</f>
        <v>80</v>
      </c>
      <c r="Z7" s="13"/>
      <c r="AA7" s="13" t="s">
        <v>37</v>
      </c>
      <c r="AB7" s="13"/>
      <c r="AC7" s="14">
        <v>5</v>
      </c>
      <c r="AD7" s="72" t="str">
        <f ca="1">IF(ISBLANK($AC7),"",OFFSET(Fairs2!$G2,Board!$AC7-1,0))</f>
        <v>80/82.5 CS</v>
      </c>
      <c r="AE7" s="72"/>
      <c r="AF7" s="26">
        <f ca="1">OFFSET(Fairs2!H$1, Board!AC7,0)</f>
        <v>0.92544259578808408</v>
      </c>
      <c r="AG7" s="33"/>
      <c r="AH7" s="31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</row>
    <row r="8" spans="1:56" ht="36" customHeight="1">
      <c r="A8" s="31"/>
      <c r="B8" s="32"/>
      <c r="C8" s="44"/>
      <c r="D8" s="45" t="s">
        <v>37</v>
      </c>
      <c r="E8" s="45"/>
      <c r="F8" s="35">
        <f>Fairs!I1</f>
        <v>82.5</v>
      </c>
      <c r="G8" s="45">
        <v>4.3</v>
      </c>
      <c r="H8" s="45" t="s">
        <v>37</v>
      </c>
      <c r="I8" s="45">
        <v>4.5999999999999996</v>
      </c>
      <c r="J8" s="36">
        <v>2</v>
      </c>
      <c r="K8" s="76" t="str">
        <f ca="1">IF(ISBLANK($J8),"",OFFSET(Fairs!$I2,Board!$J8-1,0))</f>
        <v>82.5 Put</v>
      </c>
      <c r="L8" s="76"/>
      <c r="M8" s="37">
        <f ca="1">OFFSET(Fairs!J$1, Board!J8,0)</f>
        <v>4.4367691106763676</v>
      </c>
      <c r="N8" s="38"/>
      <c r="O8" s="38"/>
      <c r="P8" s="72" t="str">
        <f ca="1">K8</f>
        <v>82.5 Put</v>
      </c>
      <c r="Q8" s="72"/>
      <c r="R8" s="69">
        <f ca="1">M8</f>
        <v>4.4367691106763676</v>
      </c>
      <c r="S8" s="39"/>
      <c r="T8" s="39"/>
      <c r="U8" s="40"/>
      <c r="V8" s="45"/>
      <c r="W8" s="45" t="s">
        <v>37</v>
      </c>
      <c r="X8" s="45"/>
      <c r="Y8" s="35">
        <f>Fairs2!I1</f>
        <v>82.5</v>
      </c>
      <c r="Z8" s="45"/>
      <c r="AA8" s="45" t="s">
        <v>37</v>
      </c>
      <c r="AB8" s="45"/>
      <c r="AC8" s="14">
        <v>3</v>
      </c>
      <c r="AD8" s="72" t="str">
        <f ca="1">IF(ISBLANK($AC8),"",OFFSET(Fairs2!$I2,Board!$AC8-1,0))</f>
        <v>82.5 P+S</v>
      </c>
      <c r="AE8" s="72"/>
      <c r="AF8" s="26">
        <f ca="1">OFFSET(Fairs2!J$1, Board!AC8,0)</f>
        <v>2.4278863063127933</v>
      </c>
      <c r="AG8" s="28"/>
      <c r="AH8" s="29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</row>
    <row r="9" spans="1:56" ht="36" customHeight="1">
      <c r="A9" s="41" t="s">
        <v>38</v>
      </c>
      <c r="B9" s="42"/>
      <c r="C9" s="74"/>
      <c r="D9" s="75"/>
      <c r="E9" s="75"/>
      <c r="F9" s="75"/>
      <c r="G9" s="75"/>
      <c r="H9" s="75"/>
      <c r="I9" s="75"/>
      <c r="J9" s="29"/>
      <c r="K9" s="55" t="str">
        <f ca="1">RANDBETWEEN(1, 5)*50 &amp; "x"</f>
        <v>100x</v>
      </c>
      <c r="L9" s="56"/>
      <c r="M9" s="57"/>
      <c r="N9" s="29"/>
      <c r="O9" s="29"/>
      <c r="P9" s="55"/>
      <c r="Q9" s="68" t="str">
        <f ca="1">IF(C9="", "", RANDBETWEEN(1,16)*25&amp;" X")</f>
        <v/>
      </c>
      <c r="R9" s="61">
        <v>3.3</v>
      </c>
      <c r="S9" s="29"/>
      <c r="T9" s="29" t="s">
        <v>38</v>
      </c>
      <c r="U9" s="58"/>
      <c r="V9" s="78"/>
      <c r="W9" s="78"/>
      <c r="X9" s="78"/>
      <c r="Y9" s="78"/>
      <c r="Z9" s="78"/>
      <c r="AA9" s="78"/>
      <c r="AB9" s="78"/>
      <c r="AC9" s="34"/>
      <c r="AD9" s="63"/>
      <c r="AE9" s="64"/>
      <c r="AF9" s="65"/>
      <c r="AG9" s="34"/>
      <c r="AH9" s="34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</row>
    <row r="10" spans="1:56" ht="18" customHeight="1">
      <c r="A10" s="74"/>
      <c r="B10" s="75"/>
      <c r="C10" s="75"/>
      <c r="D10" s="75"/>
      <c r="E10" s="75"/>
      <c r="F10" s="75"/>
      <c r="G10" s="75"/>
      <c r="H10" s="29"/>
      <c r="I10" s="70"/>
      <c r="J10" s="56"/>
      <c r="K10" s="57"/>
      <c r="L10" s="29"/>
      <c r="M10" s="29"/>
      <c r="N10" s="70"/>
      <c r="O10" s="70" t="str">
        <f ca="1">IF(A10="", "", RANDBETWEEN(1,16)*25&amp;" X")</f>
        <v/>
      </c>
      <c r="P10" s="41"/>
      <c r="Q10" s="66"/>
      <c r="R10" s="27"/>
      <c r="S10" s="27"/>
      <c r="T10" s="27"/>
      <c r="U10" s="27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</row>
    <row r="11" spans="1:56" ht="18" customHeight="1">
      <c r="A11" s="74"/>
      <c r="B11" s="75"/>
      <c r="C11" s="75"/>
      <c r="D11" s="75"/>
      <c r="E11" s="75"/>
      <c r="F11" s="75"/>
      <c r="G11" s="75"/>
      <c r="H11" s="29"/>
      <c r="I11" s="55"/>
      <c r="P11" s="41"/>
      <c r="Q11" s="6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</row>
    <row r="12" spans="1:56" ht="18" customHeight="1">
      <c r="A12" s="74"/>
      <c r="B12" s="75"/>
      <c r="C12" s="75"/>
      <c r="D12" s="75"/>
      <c r="E12" s="75"/>
      <c r="F12" s="75"/>
      <c r="G12" s="75"/>
      <c r="H12" s="29"/>
      <c r="I12" s="55"/>
      <c r="P12" s="41"/>
      <c r="Q12" s="6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</row>
    <row r="13" spans="1:56" ht="18" customHeight="1">
      <c r="A13" s="74"/>
      <c r="B13" s="75"/>
      <c r="C13" s="75"/>
      <c r="D13" s="75"/>
      <c r="E13" s="75"/>
      <c r="F13" s="75"/>
      <c r="G13" s="75"/>
      <c r="H13" s="29"/>
      <c r="I13" s="55"/>
      <c r="P13" s="41"/>
      <c r="Q13" s="6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</row>
    <row r="14" spans="1:56" ht="18" customHeight="1">
      <c r="A14" s="74"/>
      <c r="B14" s="75"/>
      <c r="C14" s="75"/>
      <c r="D14" s="75"/>
      <c r="E14" s="75"/>
      <c r="F14" s="75"/>
      <c r="G14" s="75"/>
      <c r="H14" s="29"/>
      <c r="I14" s="55"/>
      <c r="P14" s="41"/>
      <c r="Q14" s="6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</row>
    <row r="15" spans="1:56" ht="18" customHeight="1">
      <c r="A15" s="74"/>
      <c r="B15" s="75"/>
      <c r="C15" s="75"/>
      <c r="D15" s="75"/>
      <c r="E15" s="75"/>
      <c r="F15" s="75"/>
      <c r="G15" s="75"/>
      <c r="H15" s="29"/>
      <c r="I15" s="55"/>
      <c r="P15" s="41"/>
      <c r="Q15" s="6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ht="18" customHeight="1">
      <c r="A16" s="74"/>
      <c r="B16" s="75"/>
      <c r="C16" s="75"/>
      <c r="D16" s="75"/>
      <c r="E16" s="75"/>
      <c r="F16" s="75"/>
      <c r="G16" s="75"/>
      <c r="H16" s="29"/>
      <c r="I16" s="55"/>
      <c r="P16" s="41"/>
      <c r="Q16" s="6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</row>
    <row r="17" spans="1:56" ht="18" customHeight="1">
      <c r="A17" s="74"/>
      <c r="B17" s="75"/>
      <c r="C17" s="75"/>
      <c r="D17" s="75"/>
      <c r="E17" s="75"/>
      <c r="F17" s="75"/>
      <c r="G17" s="75"/>
      <c r="H17" s="29"/>
      <c r="I17" s="55"/>
      <c r="P17" s="41"/>
      <c r="Q17" s="6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</row>
    <row r="18" spans="1:56" ht="18" customHeight="1">
      <c r="A18" s="74"/>
      <c r="B18" s="75"/>
      <c r="C18" s="75"/>
      <c r="D18" s="75"/>
      <c r="E18" s="75"/>
      <c r="F18" s="75"/>
      <c r="G18" s="75"/>
      <c r="H18" s="29"/>
      <c r="I18" s="55"/>
      <c r="P18" s="41"/>
      <c r="Q18" s="6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</row>
    <row r="19" spans="1:56" ht="18" customHeight="1">
      <c r="A19" s="74"/>
      <c r="B19" s="75"/>
      <c r="C19" s="75"/>
      <c r="D19" s="75"/>
      <c r="E19" s="75"/>
      <c r="F19" s="75"/>
      <c r="G19" s="75"/>
      <c r="H19" s="29"/>
      <c r="I19" s="55"/>
      <c r="P19" s="41"/>
      <c r="Q19" s="6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</row>
    <row r="20" spans="1:56" ht="18" customHeight="1">
      <c r="A20" s="74"/>
      <c r="B20" s="75"/>
      <c r="C20" s="75"/>
      <c r="D20" s="75"/>
      <c r="E20" s="75"/>
      <c r="F20" s="75"/>
      <c r="G20" s="75"/>
      <c r="H20" s="29"/>
      <c r="I20" s="55"/>
      <c r="P20" s="41"/>
      <c r="Q20" s="6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</row>
    <row r="21" spans="1:56" ht="18" customHeight="1">
      <c r="A21" s="74"/>
      <c r="B21" s="75"/>
      <c r="C21" s="75"/>
      <c r="D21" s="75"/>
      <c r="E21" s="75"/>
      <c r="F21" s="75"/>
      <c r="G21" s="75"/>
      <c r="H21" s="29"/>
      <c r="I21" s="55"/>
      <c r="P21" s="41"/>
      <c r="Q21" s="6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</row>
    <row r="22" spans="1:56" ht="18" customHeight="1">
      <c r="A22" s="74"/>
      <c r="B22" s="75"/>
      <c r="C22" s="75"/>
      <c r="D22" s="75"/>
      <c r="E22" s="75"/>
      <c r="F22" s="75"/>
      <c r="G22" s="75"/>
      <c r="H22" s="29"/>
      <c r="I22" s="55"/>
      <c r="P22" s="41"/>
      <c r="Q22" s="6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</row>
    <row r="23" spans="1:56" ht="18" customHeight="1">
      <c r="A23" s="74"/>
      <c r="B23" s="75"/>
      <c r="C23" s="75"/>
      <c r="D23" s="75"/>
      <c r="E23" s="75"/>
      <c r="F23" s="75"/>
      <c r="G23" s="75"/>
      <c r="H23" s="29"/>
      <c r="I23" s="55"/>
      <c r="P23" s="41"/>
      <c r="Q23" s="6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</row>
    <row r="24" spans="1:56" ht="18" customHeight="1">
      <c r="A24" s="74"/>
      <c r="B24" s="75"/>
      <c r="C24" s="75"/>
      <c r="D24" s="75"/>
      <c r="E24" s="75"/>
      <c r="F24" s="75"/>
      <c r="G24" s="75"/>
      <c r="H24" s="29"/>
      <c r="I24" s="55"/>
      <c r="P24" s="41"/>
      <c r="Q24" s="6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</row>
    <row r="25" spans="1:56" ht="18" customHeight="1">
      <c r="A25" s="74"/>
      <c r="B25" s="75"/>
      <c r="C25" s="75"/>
      <c r="D25" s="75"/>
      <c r="E25" s="75"/>
      <c r="F25" s="75"/>
      <c r="G25" s="75"/>
      <c r="H25" s="29"/>
      <c r="I25" s="55"/>
      <c r="P25" s="41"/>
      <c r="Q25" s="6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</row>
    <row r="26" spans="1:56" ht="18" customHeight="1">
      <c r="A26" s="74"/>
      <c r="B26" s="75"/>
      <c r="C26" s="75"/>
      <c r="D26" s="75"/>
      <c r="E26" s="75"/>
      <c r="F26" s="75"/>
      <c r="G26" s="75"/>
      <c r="H26" s="29"/>
      <c r="I26" s="55"/>
      <c r="P26" s="41"/>
      <c r="Q26" s="6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</row>
    <row r="27" spans="1:56" ht="18" customHeight="1">
      <c r="A27" s="74"/>
      <c r="B27" s="75"/>
      <c r="C27" s="75"/>
      <c r="D27" s="75"/>
      <c r="E27" s="75"/>
      <c r="F27" s="75"/>
      <c r="G27" s="75"/>
      <c r="H27" s="29"/>
      <c r="I27" s="55"/>
      <c r="P27" s="41"/>
      <c r="Q27" s="6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</row>
    <row r="28" spans="1:56" ht="18" customHeight="1">
      <c r="A28" s="74"/>
      <c r="B28" s="75"/>
      <c r="C28" s="75"/>
      <c r="D28" s="75"/>
      <c r="E28" s="75"/>
      <c r="F28" s="75"/>
      <c r="G28" s="75"/>
      <c r="H28" s="29"/>
      <c r="I28" s="55"/>
      <c r="P28" s="41"/>
      <c r="Q28" s="6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</row>
    <row r="29" spans="1:56" ht="18" customHeight="1">
      <c r="A29" s="74"/>
      <c r="B29" s="75"/>
      <c r="C29" s="75"/>
      <c r="D29" s="75"/>
      <c r="E29" s="75"/>
      <c r="F29" s="75"/>
      <c r="G29" s="75"/>
      <c r="H29" s="29"/>
      <c r="I29" s="55"/>
      <c r="P29" s="41"/>
      <c r="Q29" s="6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</row>
    <row r="30" spans="1:56" ht="18" customHeight="1">
      <c r="A30" s="74"/>
      <c r="B30" s="75"/>
      <c r="C30" s="75"/>
      <c r="D30" s="75"/>
      <c r="E30" s="75"/>
      <c r="F30" s="75"/>
      <c r="G30" s="75"/>
      <c r="H30" s="29"/>
      <c r="I30" s="55"/>
      <c r="P30" s="41"/>
      <c r="Q30" s="6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</row>
    <row r="31" spans="1:56" ht="18" customHeight="1">
      <c r="A31" s="74"/>
      <c r="B31" s="75"/>
      <c r="C31" s="75"/>
      <c r="D31" s="75"/>
      <c r="E31" s="75"/>
      <c r="F31" s="75"/>
      <c r="G31" s="75"/>
      <c r="H31" s="29"/>
      <c r="I31" s="55"/>
      <c r="P31" s="41"/>
      <c r="Q31" s="6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</row>
    <row r="32" spans="1:56" ht="18" customHeight="1">
      <c r="A32" s="74"/>
      <c r="B32" s="75"/>
      <c r="C32" s="75"/>
      <c r="D32" s="75"/>
      <c r="E32" s="75"/>
      <c r="F32" s="75"/>
      <c r="G32" s="75"/>
      <c r="H32" s="29"/>
      <c r="I32" s="55"/>
      <c r="P32" s="41"/>
      <c r="Q32" s="6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</row>
    <row r="33" spans="1:47" ht="18" customHeight="1">
      <c r="A33" s="74"/>
      <c r="B33" s="75"/>
      <c r="C33" s="75"/>
      <c r="D33" s="75"/>
      <c r="E33" s="75"/>
      <c r="F33" s="75"/>
      <c r="G33" s="75"/>
      <c r="H33" s="29"/>
      <c r="I33" s="55"/>
      <c r="P33" s="41"/>
      <c r="Q33" s="6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</row>
    <row r="34" spans="1:47" ht="18" customHeight="1">
      <c r="A34" s="74"/>
      <c r="B34" s="75"/>
      <c r="C34" s="75"/>
      <c r="D34" s="75"/>
      <c r="E34" s="75"/>
      <c r="F34" s="75"/>
      <c r="G34" s="75"/>
      <c r="H34" s="29"/>
      <c r="I34" s="55"/>
      <c r="P34" s="41"/>
      <c r="Q34" s="6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</row>
    <row r="35" spans="1:47" ht="18" customHeight="1">
      <c r="A35" s="74"/>
      <c r="B35" s="75"/>
      <c r="C35" s="75"/>
      <c r="D35" s="75"/>
      <c r="E35" s="75"/>
      <c r="F35" s="75"/>
      <c r="G35" s="75"/>
      <c r="H35" s="29"/>
      <c r="I35" s="55"/>
      <c r="P35" s="41"/>
      <c r="Q35" s="6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</row>
    <row r="36" spans="1:47" ht="18" customHeight="1">
      <c r="A36" s="74"/>
      <c r="B36" s="75"/>
      <c r="C36" s="75"/>
      <c r="D36" s="75"/>
      <c r="E36" s="75"/>
      <c r="F36" s="75"/>
      <c r="G36" s="75"/>
      <c r="H36" s="29"/>
      <c r="I36" s="55"/>
      <c r="P36" s="41"/>
      <c r="Q36" s="6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</row>
    <row r="37" spans="1:47" ht="18" customHeight="1">
      <c r="H37" s="59"/>
      <c r="I37" s="59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</row>
    <row r="38" spans="1:47" ht="18" customHeight="1">
      <c r="H38" s="59"/>
      <c r="I38" s="59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</row>
    <row r="39" spans="1:47">
      <c r="H39" s="59"/>
      <c r="I39" s="59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</row>
    <row r="40" spans="1:47">
      <c r="H40" s="60"/>
      <c r="I40" s="60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</row>
    <row r="41" spans="1:47">
      <c r="H41" s="60"/>
      <c r="I41" s="60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</row>
    <row r="42" spans="1:47">
      <c r="H42" s="60"/>
      <c r="I42" s="60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</row>
    <row r="43" spans="1:47">
      <c r="H43" s="60"/>
      <c r="I43" s="60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</row>
    <row r="44" spans="1:47">
      <c r="H44" s="60"/>
      <c r="I44" s="60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</row>
    <row r="45" spans="1:47"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</row>
    <row r="1048575" spans="1:7" ht="15">
      <c r="A1048575" s="81"/>
      <c r="B1048575" s="81"/>
      <c r="C1048575" s="81"/>
      <c r="D1048575" s="81"/>
      <c r="E1048575" s="81"/>
      <c r="F1048575" s="81"/>
      <c r="G1048575" s="81"/>
    </row>
  </sheetData>
  <mergeCells count="50">
    <mergeCell ref="A23:G23"/>
    <mergeCell ref="A24:G24"/>
    <mergeCell ref="A25:G25"/>
    <mergeCell ref="A1048575:G1048575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18:G18"/>
    <mergeCell ref="A19:G19"/>
    <mergeCell ref="A20:G20"/>
    <mergeCell ref="A21:G21"/>
    <mergeCell ref="A22:G22"/>
    <mergeCell ref="A13:G13"/>
    <mergeCell ref="A14:G14"/>
    <mergeCell ref="A15:G15"/>
    <mergeCell ref="A16:G16"/>
    <mergeCell ref="A17:G17"/>
    <mergeCell ref="A1:A2"/>
    <mergeCell ref="V9:AB9"/>
    <mergeCell ref="AD6:AE6"/>
    <mergeCell ref="AD7:AE7"/>
    <mergeCell ref="AD8:AE8"/>
    <mergeCell ref="X1:Z1"/>
    <mergeCell ref="AD4:AE4"/>
    <mergeCell ref="AD5:AE5"/>
    <mergeCell ref="X2:Z2"/>
    <mergeCell ref="E1:G1"/>
    <mergeCell ref="E2:G2"/>
    <mergeCell ref="P6:Q6"/>
    <mergeCell ref="P7:Q7"/>
    <mergeCell ref="P8:Q8"/>
    <mergeCell ref="K4:L4"/>
    <mergeCell ref="P4:Q4"/>
    <mergeCell ref="P5:Q5"/>
    <mergeCell ref="K5:L5"/>
    <mergeCell ref="A12:G12"/>
    <mergeCell ref="K8:L8"/>
    <mergeCell ref="K7:L7"/>
    <mergeCell ref="K6:L6"/>
    <mergeCell ref="A10:G10"/>
    <mergeCell ref="A11:G11"/>
    <mergeCell ref="C9:I9"/>
  </mergeCells>
  <phoneticPr fontId="12" type="noConversion"/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setBoard">
                <anchor moveWithCells="1" sizeWithCells="1">
                  <from>
                    <xdr:col>0</xdr:col>
                    <xdr:colOff>25400</xdr:colOff>
                    <xdr:row>0</xdr:row>
                    <xdr:rowOff>533400</xdr:rowOff>
                  </from>
                  <to>
                    <xdr:col>0</xdr:col>
                    <xdr:colOff>939800</xdr:colOff>
                    <xdr:row>2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andom">
                <anchor moveWithCells="1" sizeWithCells="1">
                  <from>
                    <xdr:col>0</xdr:col>
                    <xdr:colOff>952500</xdr:colOff>
                    <xdr:row>0</xdr:row>
                    <xdr:rowOff>533400</xdr:rowOff>
                  </from>
                  <to>
                    <xdr:col>1</xdr:col>
                    <xdr:colOff>469900</xdr:colOff>
                    <xdr:row>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oggleFairs">
                <anchor moveWithCells="1" sizeWithCells="1">
                  <from>
                    <xdr:col>0</xdr:col>
                    <xdr:colOff>25400</xdr:colOff>
                    <xdr:row>1</xdr:row>
                    <xdr:rowOff>406400</xdr:rowOff>
                  </from>
                  <to>
                    <xdr:col>1</xdr:col>
                    <xdr:colOff>457200</xdr:colOff>
                    <xdr:row>3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>
                <anchor moveWithCells="1">
                  <from>
                    <xdr:col>0</xdr:col>
                    <xdr:colOff>63500</xdr:colOff>
                    <xdr:row>3</xdr:row>
                    <xdr:rowOff>114300</xdr:rowOff>
                  </from>
                  <to>
                    <xdr:col>1</xdr:col>
                    <xdr:colOff>431800</xdr:colOff>
                    <xdr:row>3</xdr:row>
                    <xdr:rowOff>355600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Drop Down 7">
              <controlPr defaultSize="0" autoLine="0" autoPict="0">
                <anchor moveWithCells="1">
                  <from>
                    <xdr:col>0</xdr:col>
                    <xdr:colOff>50800</xdr:colOff>
                    <xdr:row>4</xdr:row>
                    <xdr:rowOff>127000</xdr:rowOff>
                  </from>
                  <to>
                    <xdr:col>1</xdr:col>
                    <xdr:colOff>444500</xdr:colOff>
                    <xdr:row>4</xdr:row>
                    <xdr:rowOff>368300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8" name="Drop Down 8">
              <controlPr defaultSize="0" autoLine="0" autoPict="0" macro="[0]!DropDown8_Change">
                <anchor moveWithCells="1">
                  <from>
                    <xdr:col>0</xdr:col>
                    <xdr:colOff>25400</xdr:colOff>
                    <xdr:row>5</xdr:row>
                    <xdr:rowOff>127000</xdr:rowOff>
                  </from>
                  <to>
                    <xdr:col>1</xdr:col>
                    <xdr:colOff>457200</xdr:colOff>
                    <xdr:row>5</xdr:row>
                    <xdr:rowOff>368300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9" name="Drop Down 9">
              <controlPr defaultSize="0" autoLine="0" autoPict="0">
                <anchor moveWithCells="1">
                  <from>
                    <xdr:col>0</xdr:col>
                    <xdr:colOff>38100</xdr:colOff>
                    <xdr:row>6</xdr:row>
                    <xdr:rowOff>127000</xdr:rowOff>
                  </from>
                  <to>
                    <xdr:col>1</xdr:col>
                    <xdr:colOff>469900</xdr:colOff>
                    <xdr:row>6</xdr:row>
                    <xdr:rowOff>368300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10" name="Drop Down 10">
              <controlPr defaultSize="0" autoLine="0" autoPict="0">
                <anchor moveWithCells="1">
                  <from>
                    <xdr:col>0</xdr:col>
                    <xdr:colOff>38100</xdr:colOff>
                    <xdr:row>7</xdr:row>
                    <xdr:rowOff>114300</xdr:rowOff>
                  </from>
                  <to>
                    <xdr:col>1</xdr:col>
                    <xdr:colOff>469900</xdr:colOff>
                    <xdr:row>7</xdr:row>
                    <xdr:rowOff>355600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autoFill="0" autoLine="0" autoPict="0">
                <anchor moveWithCells="1">
                  <from>
                    <xdr:col>0</xdr:col>
                    <xdr:colOff>25400</xdr:colOff>
                    <xdr:row>0</xdr:row>
                    <xdr:rowOff>12700</xdr:rowOff>
                  </from>
                  <to>
                    <xdr:col>0</xdr:col>
                    <xdr:colOff>939800</xdr:colOff>
                    <xdr:row>1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8" r:id="rId12" name="Spinner 14">
              <controlPr defaultSize="0" autoPict="0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9" r:id="rId13" name="Spinner 15">
              <controlPr defaultSize="0" autoPict="0">
                <anchor moveWithCells="1" sizeWithCells="1">
                  <from>
                    <xdr:col>17</xdr:col>
                    <xdr:colOff>12700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0" r:id="rId14" name="Spinner 16">
              <controlPr defaultSize="0" autoPict="0">
                <anchor moveWithCells="1" sizeWithCells="1">
                  <from>
                    <xdr:col>16</xdr:col>
                    <xdr:colOff>12700</xdr:colOff>
                    <xdr:row>2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2" r:id="rId15" name="Drop Down 48">
              <controlPr defaultSize="0" autoLine="0" autoPict="0">
                <anchor moveWithCells="1">
                  <from>
                    <xdr:col>32</xdr:col>
                    <xdr:colOff>12700</xdr:colOff>
                    <xdr:row>3</xdr:row>
                    <xdr:rowOff>101600</xdr:rowOff>
                  </from>
                  <to>
                    <xdr:col>33</xdr:col>
                    <xdr:colOff>825500</xdr:colOff>
                    <xdr:row>3</xdr:row>
                    <xdr:rowOff>342900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3" r:id="rId16" name="Drop Down 49">
              <controlPr defaultSize="0" autoLine="0" autoPict="0">
                <anchor moveWithCells="1">
                  <from>
                    <xdr:col>32</xdr:col>
                    <xdr:colOff>25400</xdr:colOff>
                    <xdr:row>4</xdr:row>
                    <xdr:rowOff>101600</xdr:rowOff>
                  </from>
                  <to>
                    <xdr:col>33</xdr:col>
                    <xdr:colOff>825500</xdr:colOff>
                    <xdr:row>4</xdr:row>
                    <xdr:rowOff>342900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4" r:id="rId17" name="Drop Down 50">
              <controlPr defaultSize="0" autoLine="0" autoPict="0">
                <anchor moveWithCells="1">
                  <from>
                    <xdr:col>32</xdr:col>
                    <xdr:colOff>12700</xdr:colOff>
                    <xdr:row>5</xdr:row>
                    <xdr:rowOff>114300</xdr:rowOff>
                  </from>
                  <to>
                    <xdr:col>33</xdr:col>
                    <xdr:colOff>825500</xdr:colOff>
                    <xdr:row>5</xdr:row>
                    <xdr:rowOff>355600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5" r:id="rId18" name="Drop Down 51">
              <controlPr defaultSize="0" autoLine="0" autoPict="0">
                <anchor moveWithCells="1">
                  <from>
                    <xdr:col>32</xdr:col>
                    <xdr:colOff>25400</xdr:colOff>
                    <xdr:row>6</xdr:row>
                    <xdr:rowOff>88900</xdr:rowOff>
                  </from>
                  <to>
                    <xdr:col>33</xdr:col>
                    <xdr:colOff>838200</xdr:colOff>
                    <xdr:row>6</xdr:row>
                    <xdr:rowOff>330200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6" r:id="rId19" name="Drop Down 52">
              <controlPr defaultSize="0" autoLine="0" autoPict="0">
                <anchor moveWithCells="1">
                  <from>
                    <xdr:col>32</xdr:col>
                    <xdr:colOff>25400</xdr:colOff>
                    <xdr:row>7</xdr:row>
                    <xdr:rowOff>114300</xdr:rowOff>
                  </from>
                  <to>
                    <xdr:col>33</xdr:col>
                    <xdr:colOff>838200</xdr:colOff>
                    <xdr:row>7</xdr:row>
                    <xdr:rowOff>355600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20" name="Button 3">
              <controlPr defaultSize="0" print="0" autoFill="0" autoPict="0" macro="[0]!GenerateOrder">
                <anchor moveWithCells="1" sizeWithCells="1">
                  <from>
                    <xdr:col>0</xdr:col>
                    <xdr:colOff>25400</xdr:colOff>
                    <xdr:row>8</xdr:row>
                    <xdr:rowOff>12700</xdr:rowOff>
                  </from>
                  <to>
                    <xdr:col>1</xdr:col>
                    <xdr:colOff>457200</xdr:colOff>
                    <xdr:row>9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41"/>
  <sheetViews>
    <sheetView zoomScale="75" zoomScaleNormal="75" zoomScalePageLayoutView="75" workbookViewId="0">
      <selection activeCell="C2" sqref="C2"/>
    </sheetView>
  </sheetViews>
  <sheetFormatPr baseColWidth="10" defaultRowHeight="15" x14ac:dyDescent="0"/>
  <cols>
    <col min="1" max="1" width="21.33203125" customWidth="1"/>
    <col min="2" max="2" width="25.33203125" customWidth="1"/>
    <col min="3" max="3" width="23.33203125" customWidth="1"/>
    <col min="4" max="4" width="24.33203125" customWidth="1"/>
    <col min="5" max="5" width="21.5" customWidth="1"/>
    <col min="6" max="6" width="19" customWidth="1"/>
    <col min="7" max="7" width="20.33203125" customWidth="1"/>
    <col min="8" max="8" width="17.33203125" customWidth="1"/>
    <col min="9" max="9" width="17.5" customWidth="1"/>
    <col min="10" max="10" width="22.33203125" customWidth="1"/>
  </cols>
  <sheetData>
    <row r="1" spans="1:10">
      <c r="A1" s="1">
        <f>$B36-2*$B30</f>
        <v>72.5</v>
      </c>
      <c r="C1" s="1">
        <f>$B36-$B30</f>
        <v>75</v>
      </c>
      <c r="E1" s="1">
        <f>$B36</f>
        <v>77.5</v>
      </c>
      <c r="G1" s="1">
        <f>$B36+$B30</f>
        <v>80</v>
      </c>
      <c r="I1" s="1">
        <f>$B36+2 * $B30</f>
        <v>82.5</v>
      </c>
    </row>
    <row r="2" spans="1:10">
      <c r="A2" t="str">
        <f>A$1&amp;" Call"</f>
        <v>72.5 Call</v>
      </c>
      <c r="B2">
        <f xml:space="preserve"> CallOption(B26, A1, $B31/365,$B28,$B27,$B29)</f>
        <v>5.8641066290900739</v>
      </c>
      <c r="C2" t="str">
        <f>C$1&amp;" Call"</f>
        <v>75 Call</v>
      </c>
      <c r="D2">
        <f>CallOption(B26, C1, $B31/365,$B28,$B27,$B29)</f>
        <v>3.6292243383932643</v>
      </c>
      <c r="E2" t="str">
        <f>E$1&amp;" Call"</f>
        <v>77.5 Call</v>
      </c>
      <c r="F2">
        <f>CallOption(B26, E1, $B31/365,$B28,$B27,$B29)</f>
        <v>1.8646662949023138</v>
      </c>
      <c r="G2" t="str">
        <f>G$1&amp;" Call"</f>
        <v>80 Call</v>
      </c>
      <c r="H2">
        <f>CallOption(B26, G1, $B31/365,$B28,$B27,$B29)</f>
        <v>0.75849687979886582</v>
      </c>
      <c r="I2" t="str">
        <f>I$1&amp;" Call"</f>
        <v>82.5 Call</v>
      </c>
      <c r="J2">
        <f>CallOption(B26, I1, $B31/365,$B28,$B27,$B29)</f>
        <v>0.2367691106763683</v>
      </c>
    </row>
    <row r="3" spans="1:10">
      <c r="A3" t="str">
        <f>A$1&amp;" Put"</f>
        <v>72.5 Put</v>
      </c>
      <c r="B3">
        <f>A1-B26+B2-$B37</f>
        <v>6.4106629090072711E-2</v>
      </c>
      <c r="C3" t="str">
        <f>C$1&amp;" Put"</f>
        <v>75 Put</v>
      </c>
      <c r="D3">
        <f>C1-B26+D2-$B37</f>
        <v>0.32922433839326315</v>
      </c>
      <c r="E3" t="str">
        <f>E$1&amp;" Put"</f>
        <v>77.5 Put</v>
      </c>
      <c r="F3">
        <f>E1-B26+F2-$B37</f>
        <v>1.0646662949023127</v>
      </c>
      <c r="G3" t="str">
        <f>G$1&amp;" Put"</f>
        <v>80 Put</v>
      </c>
      <c r="H3">
        <f>G1-B26+H2-$B37</f>
        <v>2.4584968797988647</v>
      </c>
      <c r="I3" t="str">
        <f>I$1&amp;" Put"</f>
        <v>82.5 Put</v>
      </c>
      <c r="J3">
        <f>I1-B26+J2-$B37</f>
        <v>4.4367691106763676</v>
      </c>
    </row>
    <row r="4" spans="1:10">
      <c r="A4" t="str">
        <f>A$1&amp;" P+S"</f>
        <v>72.5 P+S</v>
      </c>
      <c r="B4">
        <f>B2-$B$37</f>
        <v>5.8441066290900743</v>
      </c>
      <c r="C4" t="str">
        <f>C$1&amp;" P+S"</f>
        <v>75 P+S</v>
      </c>
      <c r="D4">
        <f>D2-$B$37</f>
        <v>3.6092243383932643</v>
      </c>
      <c r="E4" t="str">
        <f>E$1&amp;" P+S"</f>
        <v>77.5 P+S</v>
      </c>
      <c r="F4">
        <f>F2-$B$37</f>
        <v>1.8446662949023138</v>
      </c>
      <c r="G4" t="str">
        <f>G$1&amp;" P+S"</f>
        <v>80 P+S</v>
      </c>
      <c r="H4">
        <f>H2-$B$37</f>
        <v>0.7384968797988658</v>
      </c>
      <c r="I4" t="str">
        <f>I$1&amp;" P+S"</f>
        <v>82.5 P+S</v>
      </c>
      <c r="J4">
        <f>J2-$B$37</f>
        <v>0.21676911067636831</v>
      </c>
    </row>
    <row r="5" spans="1:10">
      <c r="A5" t="str">
        <f>A$1&amp;" b/w"</f>
        <v>72.5 b/w</v>
      </c>
      <c r="B5">
        <f>B3+$B$37</f>
        <v>8.4106629090072715E-2</v>
      </c>
      <c r="C5" t="str">
        <f>C$1&amp;" b/w"</f>
        <v>75 b/w</v>
      </c>
      <c r="D5">
        <f>D3+$B$37</f>
        <v>0.34922433839326317</v>
      </c>
      <c r="E5" t="str">
        <f>E$1&amp;" b/w"</f>
        <v>77.5 b/w</v>
      </c>
      <c r="F5">
        <f>F3+$B$37</f>
        <v>1.0846662949023127</v>
      </c>
      <c r="G5" t="str">
        <f>G$1&amp;" b/w"</f>
        <v>80 b/w</v>
      </c>
      <c r="H5">
        <f>H3+$B$37</f>
        <v>2.4784968797988647</v>
      </c>
      <c r="I5" t="str">
        <f>I$1&amp;" b/w"</f>
        <v>82.5 b/w</v>
      </c>
      <c r="J5">
        <f>J3+$B$37</f>
        <v>4.4567691106763672</v>
      </c>
    </row>
    <row r="6" spans="1:10">
      <c r="A6" t="str">
        <f>A$1&amp;"/"&amp;C$1&amp;" CS"</f>
        <v>72.5/75 CS</v>
      </c>
      <c r="B6">
        <f xml:space="preserve"> B2-D2</f>
        <v>2.2348822906968095</v>
      </c>
      <c r="C6" t="str">
        <f>C$1&amp;"/"&amp;E$1&amp;" CS"</f>
        <v>75/77.5 CS</v>
      </c>
      <c r="D6">
        <f>D2-F2</f>
        <v>1.7645580434909505</v>
      </c>
      <c r="E6" t="str">
        <f>E$1&amp;"/"&amp;G$1&amp;" CS"</f>
        <v>77.5/80 CS</v>
      </c>
      <c r="F6">
        <f>F2-H2</f>
        <v>1.106169415103448</v>
      </c>
      <c r="G6" t="str">
        <f>G$1&amp;"/"&amp;I$1&amp;" CS"</f>
        <v>80/82.5 CS</v>
      </c>
      <c r="H6">
        <f>H2-J2</f>
        <v>0.52172776912249752</v>
      </c>
      <c r="I6" t="str">
        <f>G$1&amp;"/"&amp;I$1&amp;" CS"</f>
        <v>80/82.5 CS</v>
      </c>
      <c r="J6">
        <f>H6</f>
        <v>0.52172776912249752</v>
      </c>
    </row>
    <row r="7" spans="1:10">
      <c r="A7" t="str">
        <f>A$1&amp;"/"&amp;C$1&amp;" PS"</f>
        <v>72.5/75 PS</v>
      </c>
      <c r="B7">
        <f>D3 - B3</f>
        <v>0.26511770930319045</v>
      </c>
      <c r="C7" t="str">
        <f>A$1&amp;"/"&amp;C$1&amp;" CS"</f>
        <v>72.5/75 CS</v>
      </c>
      <c r="D7">
        <f>B6</f>
        <v>2.2348822906968095</v>
      </c>
      <c r="E7" t="str">
        <f>C$1&amp;"/"&amp;E$1&amp;" CS"</f>
        <v>75/77.5 CS</v>
      </c>
      <c r="F7">
        <f>D6</f>
        <v>1.7645580434909505</v>
      </c>
      <c r="G7" t="str">
        <f>E$1&amp;"/"&amp;G$1&amp;" CS"</f>
        <v>77.5/80 CS</v>
      </c>
      <c r="H7">
        <f>F6</f>
        <v>1.106169415103448</v>
      </c>
      <c r="I7" t="str">
        <f>G$1&amp;"/"&amp;I$1&amp;" PS"</f>
        <v>80/82.5 PS</v>
      </c>
      <c r="J7">
        <f>H8</f>
        <v>1.9782722308775029</v>
      </c>
    </row>
    <row r="8" spans="1:10">
      <c r="A8" t="str">
        <f>A$1&amp; " Straddle"</f>
        <v>72.5 Straddle</v>
      </c>
      <c r="B8">
        <f>B2+B3</f>
        <v>5.928213258180147</v>
      </c>
      <c r="C8" t="str">
        <f>C$1&amp;"/"&amp;E$1&amp;" PS"</f>
        <v>75/77.5 PS</v>
      </c>
      <c r="D8">
        <f>F3 - D3</f>
        <v>0.73544195650904953</v>
      </c>
      <c r="E8" t="str">
        <f>E$1&amp;"/"&amp;G$1&amp;" PS"</f>
        <v>77.5/80 PS</v>
      </c>
      <c r="F8">
        <f>H3 - F3</f>
        <v>1.393830584896552</v>
      </c>
      <c r="G8" t="str">
        <f>G$1&amp;"/"&amp;I$1&amp;" PS"</f>
        <v>80/82.5 PS</v>
      </c>
      <c r="H8">
        <f>J3 - H3</f>
        <v>1.9782722308775029</v>
      </c>
      <c r="I8" t="str">
        <f>I$1&amp; " Straddle"</f>
        <v>82.5 Straddle</v>
      </c>
      <c r="J8">
        <f>J2+J3</f>
        <v>4.6735382213527359</v>
      </c>
    </row>
    <row r="9" spans="1:10">
      <c r="A9" t="str">
        <f>A$1&amp;"/"&amp;C$1&amp; " Strangle"</f>
        <v>72.5/75 Strangle</v>
      </c>
      <c r="B9">
        <f>B3 + D2</f>
        <v>3.693330967483337</v>
      </c>
      <c r="C9" t="str">
        <f>A$1&amp;"/"&amp;C$1&amp;" PS"</f>
        <v>72.5/75 PS</v>
      </c>
      <c r="D9">
        <f>B7</f>
        <v>0.26511770930319045</v>
      </c>
      <c r="E9" t="str">
        <f>C$1&amp;"/"&amp;E$1&amp;" PS"</f>
        <v>75/77.5 PS</v>
      </c>
      <c r="F9">
        <f>D8</f>
        <v>0.73544195650904953</v>
      </c>
      <c r="G9" t="str">
        <f>E$1&amp;"/"&amp;G$1&amp;" PS"</f>
        <v>77.5/80 PS</v>
      </c>
      <c r="H9">
        <f>F8</f>
        <v>1.393830584896552</v>
      </c>
      <c r="I9" t="str">
        <f>G$1&amp;"/"&amp;I$1&amp;" Strangle"</f>
        <v>80/82.5 Strangle</v>
      </c>
      <c r="J9">
        <f>H11</f>
        <v>2.695265990475233</v>
      </c>
    </row>
    <row r="10" spans="1:10">
      <c r="A10" t="str">
        <f>A$1&amp;"/"&amp;C$1&amp;" Risk Reversal"</f>
        <v>72.5/75 Risk Reversal</v>
      </c>
      <c r="B10">
        <f>B3 - D2</f>
        <v>-3.5651177093031916</v>
      </c>
      <c r="C10" t="str">
        <f>C$1&amp; " Straddle"</f>
        <v>75 Straddle</v>
      </c>
      <c r="D10">
        <f>D2+D3</f>
        <v>3.9584486767865275</v>
      </c>
      <c r="E10" t="str">
        <f>E$1&amp; " Straddle"</f>
        <v>77.5 Straddle</v>
      </c>
      <c r="F10">
        <f>F2+F3</f>
        <v>2.9293325898046265</v>
      </c>
      <c r="G10" t="str">
        <f>G$1&amp; " Straddle"</f>
        <v>80 Straddle</v>
      </c>
      <c r="H10">
        <f>H2+H3</f>
        <v>3.2169937595977305</v>
      </c>
      <c r="I10" t="str">
        <f>G$1&amp;"/"&amp;I$1&amp;" Risk Reversal"</f>
        <v>80/82.5 Risk Reversal</v>
      </c>
      <c r="J10">
        <f>H13</f>
        <v>2.2217277691224964</v>
      </c>
    </row>
    <row r="11" spans="1:10">
      <c r="A11" t="str">
        <f>A$1&amp;"/"&amp;C$1&amp;"/"&amp;E$1&amp;" Fly"</f>
        <v>72.5/75/77.5 Fly</v>
      </c>
      <c r="B11">
        <f>B6 - D6</f>
        <v>0.47032424720585908</v>
      </c>
      <c r="C11" t="str">
        <f>C$1&amp;"/"&amp;E$1&amp; " Strangle"</f>
        <v>75/77.5 Strangle</v>
      </c>
      <c r="D11">
        <f>D3 + F2</f>
        <v>2.193890633295577</v>
      </c>
      <c r="E11" t="str">
        <f>E$1&amp;"/"&amp;G$1&amp; " Strangle"</f>
        <v>77.5/80 Strangle</v>
      </c>
      <c r="F11">
        <f>F3 + H2</f>
        <v>1.8231631747011785</v>
      </c>
      <c r="G11" t="str">
        <f>G$1&amp;"/"&amp;I$1&amp; " Strangle"</f>
        <v>80/82.5 Strangle</v>
      </c>
      <c r="H11">
        <f>H3 + J2</f>
        <v>2.695265990475233</v>
      </c>
      <c r="I11" t="str">
        <f>E$1&amp;"/"&amp;G$1&amp;"/"&amp;I$1&amp;" Fly"</f>
        <v>77.5/80/82.5 Fly</v>
      </c>
      <c r="J11">
        <f>H15</f>
        <v>0.5844416459809505</v>
      </c>
    </row>
    <row r="12" spans="1:10">
      <c r="C12" t="str">
        <f>A$1&amp;"/"&amp;C$1&amp;" Strangle"</f>
        <v>72.5/75 Strangle</v>
      </c>
      <c r="D12">
        <f>B9</f>
        <v>3.693330967483337</v>
      </c>
      <c r="E12" t="str">
        <f>C$1&amp;"/"&amp;E$1&amp;" Strangle"</f>
        <v>75/77.5 Strangle</v>
      </c>
      <c r="F12">
        <f>D11</f>
        <v>2.193890633295577</v>
      </c>
      <c r="G12" t="str">
        <f>E$1&amp;"/"&amp;G$1&amp;" Strangle"</f>
        <v>77.5/80 Strangle</v>
      </c>
      <c r="H12">
        <f>F11</f>
        <v>1.8231631747011785</v>
      </c>
    </row>
    <row r="13" spans="1:10">
      <c r="C13" t="str">
        <f>C$1&amp;"/"&amp;E$1&amp;" Risk Reversal"</f>
        <v>75/77.5 Risk Reversal</v>
      </c>
      <c r="D13">
        <f>D3 - F2</f>
        <v>-1.5354419565090507</v>
      </c>
      <c r="E13" t="str">
        <f>E$1&amp;"/"&amp;G$1&amp;" Risk Reversal"</f>
        <v>77.5/80 Risk Reversal</v>
      </c>
      <c r="F13">
        <f>F3 - H2</f>
        <v>0.30616941510344686</v>
      </c>
      <c r="G13" t="str">
        <f>G$1&amp;"/"&amp;I$1&amp;" Risk Reversal"</f>
        <v>80/82.5 Risk Reversal</v>
      </c>
      <c r="H13">
        <f>H3 - J2</f>
        <v>2.2217277691224964</v>
      </c>
    </row>
    <row r="14" spans="1:10">
      <c r="C14" t="str">
        <f>A$1&amp;"/"&amp;C$1&amp;" Risk Reversal"</f>
        <v>72.5/75 Risk Reversal</v>
      </c>
      <c r="D14">
        <f>B10</f>
        <v>-3.5651177093031916</v>
      </c>
      <c r="E14" t="str">
        <f>C$1&amp;"/"&amp;E$1&amp;" Risk Reversal"</f>
        <v>75/77.5 Risk Reversal</v>
      </c>
      <c r="F14">
        <f>D13</f>
        <v>-1.5354419565090507</v>
      </c>
      <c r="G14" t="str">
        <f>E$1&amp;"/"&amp;G$1&amp;" Risk Reversal"</f>
        <v>77.5/80 Risk Reversal</v>
      </c>
      <c r="H14">
        <f>F13</f>
        <v>0.30616941510344686</v>
      </c>
    </row>
    <row r="15" spans="1:10">
      <c r="C15" t="str">
        <f>C$1&amp;"/"&amp;E$1&amp;"/"&amp;G$1&amp;" Fly"</f>
        <v>75/77.5/80 Fly</v>
      </c>
      <c r="D15">
        <f>D6 - F6</f>
        <v>0.65838862838750245</v>
      </c>
      <c r="E15" t="str">
        <f>E$1&amp;"/"&amp;G$1&amp;"/"&amp;I$1&amp;" Fly"</f>
        <v>77.5/80/82.5 Fly</v>
      </c>
      <c r="F15">
        <f>F6 - H6</f>
        <v>0.5844416459809505</v>
      </c>
      <c r="G15" t="str">
        <f>E$1&amp;"/"&amp;G$1&amp;"/"&amp;I$1&amp;" Fly"</f>
        <v>77.5/80/82.5 Fly</v>
      </c>
      <c r="H15">
        <f>F15</f>
        <v>0.5844416459809505</v>
      </c>
    </row>
    <row r="16" spans="1:10">
      <c r="C16" t="str">
        <f>A$1&amp;"/"&amp;C$1&amp;"/"&amp;E$1&amp;" Fly"</f>
        <v>72.5/75/77.5 Fly</v>
      </c>
      <c r="D16">
        <f>B11</f>
        <v>0.47032424720585908</v>
      </c>
      <c r="E16" t="str">
        <f>C$1&amp;"/"&amp;E$1&amp;"/"&amp;G$1&amp;" Fly"</f>
        <v>75/77.5/80 Fly</v>
      </c>
      <c r="F16">
        <f>D15</f>
        <v>0.65838862838750245</v>
      </c>
      <c r="G16" t="str">
        <f>C$1&amp;"/"&amp;E$1&amp;"/"&amp;G$1&amp;" Fly"</f>
        <v>75/77.5/80 Fly</v>
      </c>
      <c r="H16">
        <f>F15</f>
        <v>0.5844416459809505</v>
      </c>
    </row>
    <row r="17" spans="1:10">
      <c r="E17" t="str">
        <f>A$1&amp;"/"&amp;C$1&amp;"/"&amp;E$1&amp;" Fly"</f>
        <v>72.5/75/77.5 Fly</v>
      </c>
      <c r="F17">
        <f>D16</f>
        <v>0.47032424720585908</v>
      </c>
    </row>
    <row r="19" spans="1:10">
      <c r="A19" t="str">
        <f>A$1&amp; " Combo"</f>
        <v>72.5 Combo</v>
      </c>
      <c r="B19">
        <f>B2-B3</f>
        <v>5.8000000000000007</v>
      </c>
      <c r="C19" t="str">
        <f>C$1&amp; " Combo"</f>
        <v>75 Combo</v>
      </c>
      <c r="D19">
        <f>D2-D3</f>
        <v>3.3000000000000012</v>
      </c>
      <c r="E19" t="str">
        <f>E$1&amp; " Combo"</f>
        <v>77.5 Combo</v>
      </c>
      <c r="F19">
        <f>F2-F3</f>
        <v>0.80000000000000115</v>
      </c>
      <c r="G19" t="str">
        <f>G$1&amp; " Combo"</f>
        <v>80 Combo</v>
      </c>
      <c r="H19">
        <f>H2-H3</f>
        <v>-1.6999999999999988</v>
      </c>
      <c r="I19" t="str">
        <f>I$1&amp; " Combo"</f>
        <v>82.5 Combo</v>
      </c>
      <c r="J19">
        <f>J2-J3</f>
        <v>-4.1999999999999993</v>
      </c>
    </row>
    <row r="23" spans="1:10">
      <c r="A23" s="6" t="s">
        <v>0</v>
      </c>
      <c r="B23" s="7"/>
      <c r="C23" s="7"/>
    </row>
    <row r="24" spans="1:10">
      <c r="A24" s="8" t="s">
        <v>1</v>
      </c>
      <c r="B24" s="8"/>
      <c r="C24" s="8"/>
    </row>
    <row r="26" spans="1:10">
      <c r="A26" s="2" t="s">
        <v>2</v>
      </c>
      <c r="B26" s="16">
        <f>E26</f>
        <v>78.28</v>
      </c>
      <c r="C26" s="3">
        <v>78.28</v>
      </c>
      <c r="D26">
        <v>500</v>
      </c>
      <c r="E26">
        <f>C26+(D26-500)/100</f>
        <v>78.28</v>
      </c>
    </row>
    <row r="27" spans="1:10">
      <c r="A27" s="2" t="s">
        <v>3</v>
      </c>
      <c r="B27" s="4">
        <v>0.44</v>
      </c>
    </row>
    <row r="28" spans="1:10">
      <c r="A28" s="2" t="s">
        <v>4</v>
      </c>
      <c r="B28" s="4">
        <v>0.02</v>
      </c>
    </row>
    <row r="29" spans="1:10">
      <c r="A29" s="2" t="s">
        <v>5</v>
      </c>
      <c r="B29" s="3">
        <v>0</v>
      </c>
    </row>
    <row r="30" spans="1:10">
      <c r="A30" s="2" t="s">
        <v>6</v>
      </c>
      <c r="B30" s="3">
        <v>2.5</v>
      </c>
    </row>
    <row r="31" spans="1:10">
      <c r="A31" s="2" t="s">
        <v>7</v>
      </c>
      <c r="B31" s="3">
        <v>4</v>
      </c>
    </row>
    <row r="32" spans="1:10">
      <c r="A32" s="2"/>
    </row>
    <row r="33" spans="1:6">
      <c r="A33" s="2" t="s">
        <v>8</v>
      </c>
      <c r="B33" s="5">
        <f>IF(MOD(B26,B30)&lt;B30/2,B26-MOD(B26,B30),B26-MOD(B26,B30)+5)</f>
        <v>77.5</v>
      </c>
    </row>
    <row r="34" spans="1:6">
      <c r="A34" s="2" t="s">
        <v>9</v>
      </c>
      <c r="B34" s="5">
        <f>(1-EXP((B29-B28)*B31/365))*B33</f>
        <v>1.6984439993373568E-2</v>
      </c>
    </row>
    <row r="35" spans="1:6">
      <c r="A35" s="2"/>
    </row>
    <row r="36" spans="1:6">
      <c r="A36" s="2" t="s">
        <v>10</v>
      </c>
      <c r="B36" s="3">
        <v>77.5</v>
      </c>
      <c r="C36" s="2" t="s">
        <v>16</v>
      </c>
    </row>
    <row r="37" spans="1:6">
      <c r="A37" s="2" t="s">
        <v>11</v>
      </c>
      <c r="B37" s="3">
        <v>0.02</v>
      </c>
      <c r="C37" s="2" t="s">
        <v>15</v>
      </c>
    </row>
    <row r="38" spans="1:6">
      <c r="A38" s="2" t="s">
        <v>12</v>
      </c>
      <c r="B38" s="3">
        <v>0.01</v>
      </c>
      <c r="F38" s="11"/>
    </row>
    <row r="39" spans="1:6">
      <c r="A39" s="2" t="s">
        <v>13</v>
      </c>
      <c r="B39" s="3">
        <v>0.01</v>
      </c>
    </row>
    <row r="40" spans="1:6">
      <c r="A40" s="2"/>
    </row>
    <row r="41" spans="1:6">
      <c r="A41" s="2" t="s">
        <v>14</v>
      </c>
      <c r="B41" s="3">
        <v>0.2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J41"/>
  <sheetViews>
    <sheetView zoomScale="75" zoomScaleNormal="75" zoomScalePageLayoutView="75" workbookViewId="0">
      <selection activeCell="B51" sqref="B51"/>
    </sheetView>
  </sheetViews>
  <sheetFormatPr baseColWidth="10" defaultRowHeight="15" x14ac:dyDescent="0"/>
  <cols>
    <col min="1" max="1" width="21.33203125" customWidth="1"/>
    <col min="2" max="2" width="25.33203125" customWidth="1"/>
    <col min="3" max="3" width="23.33203125" customWidth="1"/>
    <col min="4" max="4" width="24.33203125" customWidth="1"/>
    <col min="5" max="5" width="21.5" customWidth="1"/>
    <col min="6" max="6" width="19" customWidth="1"/>
    <col min="7" max="7" width="20.33203125" customWidth="1"/>
    <col min="8" max="8" width="17.33203125" customWidth="1"/>
    <col min="9" max="9" width="17.5" customWidth="1"/>
    <col min="10" max="10" width="22.33203125" customWidth="1"/>
  </cols>
  <sheetData>
    <row r="1" spans="1:10">
      <c r="A1" s="1">
        <f>$B36-2*$B30</f>
        <v>72.5</v>
      </c>
      <c r="C1" s="1">
        <f>$B36-$B30</f>
        <v>75</v>
      </c>
      <c r="E1" s="1">
        <f>$B36</f>
        <v>77.5</v>
      </c>
      <c r="G1" s="1">
        <f>$B36+$B30</f>
        <v>80</v>
      </c>
      <c r="I1" s="1">
        <f>$B36+2 * $B30</f>
        <v>82.5</v>
      </c>
    </row>
    <row r="2" spans="1:10">
      <c r="A2" t="str">
        <f>A$1&amp;" Call"</f>
        <v>72.5 Call</v>
      </c>
      <c r="B2">
        <f xml:space="preserve"> CallOption(B26, A1, $B31/365,$B28,$B27,$B29)</f>
        <v>7.6594469750396286</v>
      </c>
      <c r="C2" t="str">
        <f>C$1&amp;" Call"</f>
        <v>75 Call</v>
      </c>
      <c r="D2">
        <f>CallOption(B26, C1, $B31/365,$B28,$B27,$B29)</f>
        <v>6.0332014447258757</v>
      </c>
      <c r="E2" t="str">
        <f>E$1&amp;" Call"</f>
        <v>77.5 Call</v>
      </c>
      <c r="F2">
        <f>CallOption(B26, E1, $B31/365,$B28,$B27,$B29)</f>
        <v>4.6442834436042801</v>
      </c>
      <c r="G2" t="str">
        <f>G$1&amp;" Call"</f>
        <v>80 Call</v>
      </c>
      <c r="H2">
        <f>CallOption(B26, G1, $B31/365,$B28,$B27,$B29)</f>
        <v>3.4933289021008775</v>
      </c>
      <c r="I2" t="str">
        <f>I$1&amp;" Call"</f>
        <v>82.5 Call</v>
      </c>
      <c r="J2">
        <f>CallOption(B26, I1, $B31/365,$B28,$B27,$B29)</f>
        <v>2.5678863063127935</v>
      </c>
    </row>
    <row r="3" spans="1:10">
      <c r="A3" t="str">
        <f>A$1&amp;" Put"</f>
        <v>72.5 Put</v>
      </c>
      <c r="B3">
        <f>A1-B26+B2-$B37</f>
        <v>1.7394469750396273</v>
      </c>
      <c r="C3" t="str">
        <f>C$1&amp;" Put"</f>
        <v>75 Put</v>
      </c>
      <c r="D3">
        <f>C1-B26+D2-$B37</f>
        <v>2.6132014447258745</v>
      </c>
      <c r="E3" t="str">
        <f>E$1&amp;" Put"</f>
        <v>77.5 Put</v>
      </c>
      <c r="F3">
        <f>E1-B26+F2-$B37</f>
        <v>3.7242834436042789</v>
      </c>
      <c r="G3" t="str">
        <f>G$1&amp;" Put"</f>
        <v>80 Put</v>
      </c>
      <c r="H3">
        <f>G1-B26+H2-$B37</f>
        <v>5.0733289021008767</v>
      </c>
      <c r="I3" t="str">
        <f>I$1&amp;" Put"</f>
        <v>82.5 Put</v>
      </c>
      <c r="J3">
        <f>I1-B26+J2-$B37</f>
        <v>6.6478863063127926</v>
      </c>
    </row>
    <row r="4" spans="1:10">
      <c r="A4" t="str">
        <f>A$1&amp;" P+S"</f>
        <v>72.5 P+S</v>
      </c>
      <c r="B4">
        <f>B2-$B$37</f>
        <v>7.5194469750396289</v>
      </c>
      <c r="C4" t="str">
        <f>C$1&amp;" P+S"</f>
        <v>75 P+S</v>
      </c>
      <c r="D4">
        <f>D2-$B$37</f>
        <v>5.893201444725876</v>
      </c>
      <c r="E4" t="str">
        <f>E$1&amp;" P+S"</f>
        <v>77.5 P+S</v>
      </c>
      <c r="F4">
        <f>F2-$B$37</f>
        <v>4.5042834436042805</v>
      </c>
      <c r="G4" t="str">
        <f>G$1&amp;" P+S"</f>
        <v>80 P+S</v>
      </c>
      <c r="H4">
        <f>H2-$B$37</f>
        <v>3.3533289021008774</v>
      </c>
      <c r="I4" t="str">
        <f>I$1&amp;" P+S"</f>
        <v>82.5 P+S</v>
      </c>
      <c r="J4">
        <f>J2-$B$37</f>
        <v>2.4278863063127933</v>
      </c>
    </row>
    <row r="5" spans="1:10">
      <c r="A5" t="str">
        <f>A$1&amp;" b/w"</f>
        <v>72.5 b/w</v>
      </c>
      <c r="B5">
        <f>B3+$B$37</f>
        <v>1.8794469750396274</v>
      </c>
      <c r="C5" t="str">
        <f>C$1&amp;" b/w"</f>
        <v>75 b/w</v>
      </c>
      <c r="D5">
        <f>D3+$B$37</f>
        <v>2.7532014447258746</v>
      </c>
      <c r="E5" t="str">
        <f>E$1&amp;" b/w"</f>
        <v>77.5 b/w</v>
      </c>
      <c r="F5">
        <f>F3+$B$37</f>
        <v>3.864283443604279</v>
      </c>
      <c r="G5" t="str">
        <f>G$1&amp;" b/w"</f>
        <v>80 b/w</v>
      </c>
      <c r="H5">
        <f>H3+$B$37</f>
        <v>5.2133289021008764</v>
      </c>
      <c r="I5" t="str">
        <f>I$1&amp;" b/w"</f>
        <v>82.5 b/w</v>
      </c>
      <c r="J5">
        <f>J3+$B$37</f>
        <v>6.7878863063127923</v>
      </c>
    </row>
    <row r="6" spans="1:10">
      <c r="A6" t="str">
        <f>A$1&amp;"/"&amp;C$1&amp;" CS"</f>
        <v>72.5/75 CS</v>
      </c>
      <c r="B6">
        <f xml:space="preserve"> B2-D2</f>
        <v>1.6262455303137529</v>
      </c>
      <c r="C6" t="str">
        <f>C$1&amp;"/"&amp;E$1&amp;" CS"</f>
        <v>75/77.5 CS</v>
      </c>
      <c r="D6">
        <f>D2-F2</f>
        <v>1.3889180011215956</v>
      </c>
      <c r="E6" t="str">
        <f>E$1&amp;"/"&amp;G$1&amp;" CS"</f>
        <v>77.5/80 CS</v>
      </c>
      <c r="F6">
        <f>F2-H2</f>
        <v>1.1509545415034026</v>
      </c>
      <c r="G6" t="str">
        <f>G$1&amp;"/"&amp;I$1&amp;" CS"</f>
        <v>80/82.5 CS</v>
      </c>
      <c r="H6">
        <f>H2-J2</f>
        <v>0.92544259578808408</v>
      </c>
      <c r="I6" t="str">
        <f>G$1&amp;"/"&amp;I$1&amp;" CS"</f>
        <v>80/82.5 CS</v>
      </c>
      <c r="J6">
        <f>H6</f>
        <v>0.92544259578808408</v>
      </c>
    </row>
    <row r="7" spans="1:10">
      <c r="A7" t="str">
        <f>A$1&amp;"/"&amp;C$1&amp;" PS"</f>
        <v>72.5/75 PS</v>
      </c>
      <c r="B7">
        <f>D3 - B3</f>
        <v>0.87375446968624715</v>
      </c>
      <c r="C7" t="str">
        <f>A$1&amp;"/"&amp;C$1&amp;" CS"</f>
        <v>72.5/75 CS</v>
      </c>
      <c r="D7">
        <f>B6</f>
        <v>1.6262455303137529</v>
      </c>
      <c r="E7" t="str">
        <f>C$1&amp;"/"&amp;E$1&amp;" CS"</f>
        <v>75/77.5 CS</v>
      </c>
      <c r="F7">
        <f>D6</f>
        <v>1.3889180011215956</v>
      </c>
      <c r="G7" t="str">
        <f>E$1&amp;"/"&amp;G$1&amp;" CS"</f>
        <v>77.5/80 CS</v>
      </c>
      <c r="H7">
        <f>F6</f>
        <v>1.1509545415034026</v>
      </c>
      <c r="I7" t="str">
        <f>G$1&amp;"/"&amp;I$1&amp;" PS"</f>
        <v>80/82.5 PS</v>
      </c>
      <c r="J7">
        <f>H8</f>
        <v>1.5745574042119159</v>
      </c>
    </row>
    <row r="8" spans="1:10">
      <c r="A8" t="str">
        <f>A$1&amp; " Straddle"</f>
        <v>72.5 Straddle</v>
      </c>
      <c r="B8">
        <f>B2+B3</f>
        <v>9.3988939500792554</v>
      </c>
      <c r="C8" t="str">
        <f>C$1&amp;"/"&amp;E$1&amp;" PS"</f>
        <v>75/77.5 PS</v>
      </c>
      <c r="D8">
        <f>F3 - D3</f>
        <v>1.1110819988784044</v>
      </c>
      <c r="E8" t="str">
        <f>E$1&amp;"/"&amp;G$1&amp;" PS"</f>
        <v>77.5/80 PS</v>
      </c>
      <c r="F8">
        <f>H3 - F3</f>
        <v>1.3490454584965978</v>
      </c>
      <c r="G8" t="str">
        <f>G$1&amp;"/"&amp;I$1&amp;" PS"</f>
        <v>80/82.5 PS</v>
      </c>
      <c r="H8">
        <f>J3 - H3</f>
        <v>1.5745574042119159</v>
      </c>
      <c r="I8" t="str">
        <f>I$1&amp; " Straddle"</f>
        <v>82.5 Straddle</v>
      </c>
      <c r="J8">
        <f>J2+J3</f>
        <v>9.2157726126255852</v>
      </c>
    </row>
    <row r="9" spans="1:10">
      <c r="A9" t="str">
        <f>A$1&amp;"/"&amp;C$1&amp; " Strangle"</f>
        <v>72.5/75 Strangle</v>
      </c>
      <c r="B9">
        <f>B3 + D2</f>
        <v>7.7726484197655026</v>
      </c>
      <c r="C9" t="str">
        <f>A$1&amp;"/"&amp;C$1&amp;" PS"</f>
        <v>72.5/75 PS</v>
      </c>
      <c r="D9">
        <f>B7</f>
        <v>0.87375446968624715</v>
      </c>
      <c r="E9" t="str">
        <f>C$1&amp;"/"&amp;E$1&amp;" PS"</f>
        <v>75/77.5 PS</v>
      </c>
      <c r="F9">
        <f>D8</f>
        <v>1.1110819988784044</v>
      </c>
      <c r="G9" t="str">
        <f>E$1&amp;"/"&amp;G$1&amp;" PS"</f>
        <v>77.5/80 PS</v>
      </c>
      <c r="H9">
        <f>F8</f>
        <v>1.3490454584965978</v>
      </c>
      <c r="I9" t="str">
        <f>G$1&amp;"/"&amp;I$1&amp;" Strangle"</f>
        <v>80/82.5 Strangle</v>
      </c>
      <c r="J9">
        <f>H11</f>
        <v>7.6412152084136702</v>
      </c>
    </row>
    <row r="10" spans="1:10">
      <c r="A10" t="str">
        <f>A$1&amp;"/"&amp;C$1&amp;" Risk Reversal"</f>
        <v>72.5/75 Risk Reversal</v>
      </c>
      <c r="B10">
        <f>B3 - D2</f>
        <v>-4.2937544696862489</v>
      </c>
      <c r="C10" t="str">
        <f>C$1&amp; " Straddle"</f>
        <v>75 Straddle</v>
      </c>
      <c r="D10">
        <f>D2+D3</f>
        <v>8.6464028894517497</v>
      </c>
      <c r="E10" t="str">
        <f>E$1&amp; " Straddle"</f>
        <v>77.5 Straddle</v>
      </c>
      <c r="F10">
        <f>F2+F3</f>
        <v>8.3685668872085586</v>
      </c>
      <c r="G10" t="str">
        <f>G$1&amp; " Straddle"</f>
        <v>80 Straddle</v>
      </c>
      <c r="H10">
        <f>H2+H3</f>
        <v>8.5666578042017534</v>
      </c>
      <c r="I10" t="str">
        <f>G$1&amp;"/"&amp;I$1&amp;" Risk Reversal"</f>
        <v>80/82.5 Risk Reversal</v>
      </c>
      <c r="J10">
        <f>H13</f>
        <v>2.5054425957880833</v>
      </c>
    </row>
    <row r="11" spans="1:10">
      <c r="A11" t="str">
        <f>A$1&amp;"/"&amp;C$1&amp;"/"&amp;E$1&amp;" Fly"</f>
        <v>72.5/75/77.5 Fly</v>
      </c>
      <c r="B11">
        <f>B6 - D6</f>
        <v>0.23732752919215727</v>
      </c>
      <c r="C11" t="str">
        <f>C$1&amp;"/"&amp;E$1&amp; " Strangle"</f>
        <v>75/77.5 Strangle</v>
      </c>
      <c r="D11">
        <f>D3 + F2</f>
        <v>7.2574848883301541</v>
      </c>
      <c r="E11" t="str">
        <f>E$1&amp;"/"&amp;G$1&amp; " Strangle"</f>
        <v>77.5/80 Strangle</v>
      </c>
      <c r="F11">
        <f>F3 + H2</f>
        <v>7.217612345705156</v>
      </c>
      <c r="G11" t="str">
        <f>G$1&amp;"/"&amp;I$1&amp; " Strangle"</f>
        <v>80/82.5 Strangle</v>
      </c>
      <c r="H11">
        <f>H3 + J2</f>
        <v>7.6412152084136702</v>
      </c>
      <c r="I11" t="str">
        <f>E$1&amp;"/"&amp;G$1&amp;"/"&amp;I$1&amp;" Fly"</f>
        <v>77.5/80/82.5 Fly</v>
      </c>
      <c r="J11">
        <f>H15</f>
        <v>0.22551194571531852</v>
      </c>
    </row>
    <row r="12" spans="1:10">
      <c r="C12" t="str">
        <f>A$1&amp;"/"&amp;C$1&amp;" Strangle"</f>
        <v>72.5/75 Strangle</v>
      </c>
      <c r="D12">
        <f>B9</f>
        <v>7.7726484197655026</v>
      </c>
      <c r="E12" t="str">
        <f>C$1&amp;"/"&amp;E$1&amp;" Strangle"</f>
        <v>75/77.5 Strangle</v>
      </c>
      <c r="F12">
        <f>D11</f>
        <v>7.2574848883301541</v>
      </c>
      <c r="G12" t="str">
        <f>E$1&amp;"/"&amp;G$1&amp;" Strangle"</f>
        <v>77.5/80 Strangle</v>
      </c>
      <c r="H12">
        <f>F11</f>
        <v>7.217612345705156</v>
      </c>
    </row>
    <row r="13" spans="1:10">
      <c r="C13" t="str">
        <f>C$1&amp;"/"&amp;E$1&amp;" Risk Reversal"</f>
        <v>75/77.5 Risk Reversal</v>
      </c>
      <c r="D13">
        <f>D3 - F2</f>
        <v>-2.0310819988784057</v>
      </c>
      <c r="E13" t="str">
        <f>E$1&amp;"/"&amp;G$1&amp;" Risk Reversal"</f>
        <v>77.5/80 Risk Reversal</v>
      </c>
      <c r="F13">
        <f>F3 - H2</f>
        <v>0.23095454150340133</v>
      </c>
      <c r="G13" t="str">
        <f>G$1&amp;"/"&amp;I$1&amp;" Risk Reversal"</f>
        <v>80/82.5 Risk Reversal</v>
      </c>
      <c r="H13">
        <f>H3 - J2</f>
        <v>2.5054425957880833</v>
      </c>
    </row>
    <row r="14" spans="1:10">
      <c r="C14" t="str">
        <f>A$1&amp;"/"&amp;C$1&amp;" Risk Reversal"</f>
        <v>72.5/75 Risk Reversal</v>
      </c>
      <c r="D14">
        <f>B10</f>
        <v>-4.2937544696862489</v>
      </c>
      <c r="E14" t="str">
        <f>C$1&amp;"/"&amp;E$1&amp;" Risk Reversal"</f>
        <v>75/77.5 Risk Reversal</v>
      </c>
      <c r="F14">
        <f>D13</f>
        <v>-2.0310819988784057</v>
      </c>
      <c r="G14" t="str">
        <f>E$1&amp;"/"&amp;G$1&amp;" Risk Reversal"</f>
        <v>77.5/80 Risk Reversal</v>
      </c>
      <c r="H14">
        <f>F13</f>
        <v>0.23095454150340133</v>
      </c>
    </row>
    <row r="15" spans="1:10">
      <c r="C15" t="str">
        <f>C$1&amp;"/"&amp;E$1&amp;"/"&amp;G$1&amp;" Fly"</f>
        <v>75/77.5/80 Fly</v>
      </c>
      <c r="D15">
        <f>D6 - F6</f>
        <v>0.23796345961819299</v>
      </c>
      <c r="E15" t="str">
        <f>E$1&amp;"/"&amp;G$1&amp;"/"&amp;I$1&amp;" Fly"</f>
        <v>77.5/80/82.5 Fly</v>
      </c>
      <c r="F15">
        <f>F6 - H6</f>
        <v>0.22551194571531852</v>
      </c>
      <c r="G15" t="str">
        <f>E$1&amp;"/"&amp;G$1&amp;"/"&amp;I$1&amp;" Fly"</f>
        <v>77.5/80/82.5 Fly</v>
      </c>
      <c r="H15">
        <f>F15</f>
        <v>0.22551194571531852</v>
      </c>
    </row>
    <row r="16" spans="1:10">
      <c r="C16" t="str">
        <f>A$1&amp;"/"&amp;C$1&amp;"/"&amp;E$1&amp;" Fly"</f>
        <v>72.5/75/77.5 Fly</v>
      </c>
      <c r="D16">
        <f>B11</f>
        <v>0.23732752919215727</v>
      </c>
      <c r="E16" t="str">
        <f>C$1&amp;"/"&amp;E$1&amp;"/"&amp;G$1&amp;" Fly"</f>
        <v>75/77.5/80 Fly</v>
      </c>
      <c r="F16">
        <f>D15</f>
        <v>0.23796345961819299</v>
      </c>
      <c r="G16" t="str">
        <f>C$1&amp;"/"&amp;E$1&amp;"/"&amp;G$1&amp;" Fly"</f>
        <v>75/77.5/80 Fly</v>
      </c>
      <c r="H16">
        <f>F15</f>
        <v>0.22551194571531852</v>
      </c>
    </row>
    <row r="17" spans="1:10">
      <c r="E17" t="str">
        <f>A$1&amp;"/"&amp;C$1&amp;"/"&amp;E$1&amp;" Fly"</f>
        <v>72.5/75/77.5 Fly</v>
      </c>
      <c r="F17">
        <f>D16</f>
        <v>0.23732752919215727</v>
      </c>
    </row>
    <row r="19" spans="1:10">
      <c r="A19" t="str">
        <f>A$1&amp; " Combo"</f>
        <v>72.5 Combo</v>
      </c>
      <c r="B19">
        <f>B2-B3</f>
        <v>5.9200000000000017</v>
      </c>
      <c r="C19" t="str">
        <f>C$1&amp; " Combo"</f>
        <v>75 Combo</v>
      </c>
      <c r="D19">
        <f>D2-D3</f>
        <v>3.4200000000000013</v>
      </c>
      <c r="E19" t="str">
        <f>E$1&amp; " Combo"</f>
        <v>77.5 Combo</v>
      </c>
      <c r="F19">
        <f>F2-F3</f>
        <v>0.92000000000000126</v>
      </c>
      <c r="G19" t="str">
        <f>G$1&amp; " Combo"</f>
        <v>80 Combo</v>
      </c>
      <c r="H19">
        <f>H2-H3</f>
        <v>-1.5799999999999992</v>
      </c>
      <c r="I19" t="str">
        <f>I$1&amp; " Combo"</f>
        <v>82.5 Combo</v>
      </c>
      <c r="J19">
        <f>J2-J3</f>
        <v>-4.0799999999999992</v>
      </c>
    </row>
    <row r="23" spans="1:10">
      <c r="A23" s="6" t="s">
        <v>0</v>
      </c>
      <c r="B23" s="7"/>
      <c r="C23" s="7"/>
    </row>
    <row r="24" spans="1:10">
      <c r="A24" s="8" t="s">
        <v>1</v>
      </c>
      <c r="B24" s="8"/>
      <c r="C24" s="8"/>
    </row>
    <row r="26" spans="1:10">
      <c r="A26" s="2" t="s">
        <v>2</v>
      </c>
      <c r="B26" s="16">
        <f>Fairs!B26</f>
        <v>78.28</v>
      </c>
      <c r="C26" s="3">
        <f>Fairs!C26</f>
        <v>78.28</v>
      </c>
      <c r="D26" s="16">
        <f>Fairs!D26</f>
        <v>500</v>
      </c>
      <c r="E26" s="16">
        <f>Fairs!E26</f>
        <v>78.28</v>
      </c>
    </row>
    <row r="27" spans="1:10">
      <c r="A27" s="2" t="s">
        <v>3</v>
      </c>
      <c r="B27" s="18">
        <f>Fairs!B27</f>
        <v>0.44</v>
      </c>
    </row>
    <row r="28" spans="1:10">
      <c r="A28" s="2" t="s">
        <v>4</v>
      </c>
      <c r="B28" s="18">
        <f>Fairs!B28</f>
        <v>0.02</v>
      </c>
    </row>
    <row r="29" spans="1:10">
      <c r="A29" s="2" t="s">
        <v>5</v>
      </c>
      <c r="B29" s="17">
        <f>Fairs!B29</f>
        <v>0</v>
      </c>
    </row>
    <row r="30" spans="1:10">
      <c r="A30" s="2" t="s">
        <v>6</v>
      </c>
      <c r="B30" s="17">
        <f>Fairs!B30</f>
        <v>2.5</v>
      </c>
    </row>
    <row r="31" spans="1:10">
      <c r="A31" s="2" t="s">
        <v>7</v>
      </c>
      <c r="B31" s="17">
        <f>Fairs!B31+30</f>
        <v>34</v>
      </c>
    </row>
    <row r="32" spans="1:10">
      <c r="A32" s="2"/>
    </row>
    <row r="33" spans="1:6">
      <c r="A33" s="2" t="s">
        <v>8</v>
      </c>
      <c r="B33" s="5">
        <f>IF(MOD(B26,B30)&lt;B30/2,B26-MOD(B26,B30),B26-MOD(B26,B30)+5)</f>
        <v>77.5</v>
      </c>
    </row>
    <row r="34" spans="1:6">
      <c r="A34" s="2" t="s">
        <v>9</v>
      </c>
      <c r="B34" s="5">
        <f>(1-EXP((B29-B28)*B31/365))*B33</f>
        <v>0.1442491508499083</v>
      </c>
    </row>
    <row r="35" spans="1:6">
      <c r="A35" s="2"/>
    </row>
    <row r="36" spans="1:6">
      <c r="A36" s="2" t="s">
        <v>10</v>
      </c>
      <c r="B36" s="3">
        <f>Fairs!B36</f>
        <v>77.5</v>
      </c>
      <c r="C36" s="2" t="s">
        <v>16</v>
      </c>
    </row>
    <row r="37" spans="1:6">
      <c r="A37" s="2" t="s">
        <v>11</v>
      </c>
      <c r="B37" s="3">
        <f>ROUND(B34, 2)</f>
        <v>0.14000000000000001</v>
      </c>
      <c r="C37" s="2" t="s">
        <v>15</v>
      </c>
    </row>
    <row r="38" spans="1:6">
      <c r="A38" s="2" t="s">
        <v>12</v>
      </c>
      <c r="B38" s="3">
        <f>Fairs!B38</f>
        <v>0.01</v>
      </c>
      <c r="F38" s="11"/>
    </row>
    <row r="39" spans="1:6">
      <c r="A39" s="2" t="s">
        <v>13</v>
      </c>
      <c r="B39" s="3">
        <f>Fairs!B39</f>
        <v>0.01</v>
      </c>
    </row>
    <row r="40" spans="1:6">
      <c r="A40" s="2"/>
      <c r="B40" s="16"/>
    </row>
    <row r="41" spans="1:6">
      <c r="A41" s="2" t="s">
        <v>14</v>
      </c>
      <c r="B41" s="3">
        <f>Fairs!B41</f>
        <v>0.2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K98"/>
  <sheetViews>
    <sheetView workbookViewId="0">
      <selection activeCell="F19" sqref="F19"/>
    </sheetView>
  </sheetViews>
  <sheetFormatPr baseColWidth="10" defaultRowHeight="15" x14ac:dyDescent="0"/>
  <cols>
    <col min="8" max="8" width="11" customWidth="1"/>
    <col min="9" max="9" width="27.33203125" customWidth="1"/>
    <col min="10" max="10" width="20" customWidth="1"/>
  </cols>
  <sheetData>
    <row r="1" spans="1:11">
      <c r="A1">
        <f>Fairs!A1</f>
        <v>72.5</v>
      </c>
      <c r="B1" t="s">
        <v>17</v>
      </c>
      <c r="C1" t="s">
        <v>22</v>
      </c>
      <c r="E1" t="s">
        <v>30</v>
      </c>
      <c r="J1" t="str">
        <f ca="1">Board!E2&amp;" "&amp;Fairs!A2</f>
        <v>JUL 72.5 Call</v>
      </c>
      <c r="K1">
        <f>Fairs!B2</f>
        <v>5.8641066290900739</v>
      </c>
    </row>
    <row r="2" spans="1:11">
      <c r="A2">
        <f>Fairs!C1</f>
        <v>75</v>
      </c>
      <c r="B2" t="s">
        <v>18</v>
      </c>
      <c r="C2" t="s">
        <v>23</v>
      </c>
      <c r="D2" t="b">
        <v>0</v>
      </c>
      <c r="E2" t="s">
        <v>23</v>
      </c>
      <c r="G2" t="s">
        <v>33</v>
      </c>
      <c r="H2" t="s">
        <v>35</v>
      </c>
      <c r="J2" t="str">
        <f ca="1">Board!E2&amp;" "&amp;Fairs!A3</f>
        <v>JUL 72.5 Put</v>
      </c>
      <c r="K2">
        <f>Fairs!B3</f>
        <v>6.4106629090072711E-2</v>
      </c>
    </row>
    <row r="3" spans="1:11">
      <c r="A3">
        <f>Fairs!E1</f>
        <v>77.5</v>
      </c>
      <c r="B3" t="s">
        <v>19</v>
      </c>
      <c r="C3" t="s">
        <v>24</v>
      </c>
      <c r="D3" t="b">
        <v>1</v>
      </c>
      <c r="E3" t="s">
        <v>24</v>
      </c>
      <c r="G3" t="s">
        <v>34</v>
      </c>
      <c r="H3" t="s">
        <v>36</v>
      </c>
      <c r="J3" t="str">
        <f ca="1">Board!E2&amp;" "&amp;Fairs!A4</f>
        <v>JUL 72.5 P+S</v>
      </c>
      <c r="K3">
        <f>Fairs!B4</f>
        <v>5.8441066290900743</v>
      </c>
    </row>
    <row r="4" spans="1:11">
      <c r="A4">
        <f>Fairs!G1</f>
        <v>80</v>
      </c>
      <c r="B4" t="s">
        <v>20</v>
      </c>
      <c r="C4" t="s">
        <v>25</v>
      </c>
      <c r="D4" t="b">
        <v>1</v>
      </c>
      <c r="E4" t="s">
        <v>25</v>
      </c>
      <c r="F4" t="s">
        <v>31</v>
      </c>
      <c r="J4" t="str">
        <f ca="1">Board!E2&amp;" "&amp;Fairs!A5</f>
        <v>JUL 72.5 b/w</v>
      </c>
      <c r="K4">
        <f>Fairs!B5</f>
        <v>8.4106629090072715E-2</v>
      </c>
    </row>
    <row r="5" spans="1:11">
      <c r="A5">
        <f>Fairs!I1</f>
        <v>82.5</v>
      </c>
      <c r="B5" t="s">
        <v>21</v>
      </c>
      <c r="C5" t="s">
        <v>26</v>
      </c>
      <c r="D5" t="b">
        <v>1</v>
      </c>
      <c r="E5" t="s">
        <v>26</v>
      </c>
      <c r="J5" t="str">
        <f ca="1">Board!E2&amp;" "&amp;Fairs!C2</f>
        <v>JUL 75 Call</v>
      </c>
      <c r="K5">
        <f>Fairs!D2</f>
        <v>3.6292243383932643</v>
      </c>
    </row>
    <row r="6" spans="1:11">
      <c r="C6" t="s">
        <v>27</v>
      </c>
      <c r="D6" t="b">
        <v>0</v>
      </c>
      <c r="E6" t="s">
        <v>27</v>
      </c>
      <c r="J6" t="str">
        <f ca="1">Board!E2&amp;" "&amp;Fairs!C3</f>
        <v>JUL 75 Put</v>
      </c>
      <c r="K6">
        <f>Fairs!D3</f>
        <v>0.32922433839326315</v>
      </c>
    </row>
    <row r="7" spans="1:11">
      <c r="C7" t="s">
        <v>43</v>
      </c>
      <c r="D7" t="b">
        <v>1</v>
      </c>
      <c r="E7" t="s">
        <v>43</v>
      </c>
      <c r="J7" t="str">
        <f ca="1">Board!E2&amp;" "&amp;Fairs!C4</f>
        <v>JUL 75 P+S</v>
      </c>
      <c r="K7">
        <f>Fairs!D4</f>
        <v>3.6092243383932643</v>
      </c>
    </row>
    <row r="8" spans="1:11">
      <c r="C8" t="s">
        <v>28</v>
      </c>
      <c r="D8" t="b">
        <v>0</v>
      </c>
      <c r="E8" t="s">
        <v>28</v>
      </c>
      <c r="J8" t="str">
        <f ca="1">Board!E2&amp;" "&amp;Fairs!C5</f>
        <v>JUL 75 b/w</v>
      </c>
      <c r="K8">
        <f>Fairs!D5</f>
        <v>0.34922433839326317</v>
      </c>
    </row>
    <row r="9" spans="1:11">
      <c r="C9" t="s">
        <v>29</v>
      </c>
      <c r="D9" t="b">
        <v>0</v>
      </c>
      <c r="E9" t="s">
        <v>29</v>
      </c>
      <c r="F9" t="s">
        <v>32</v>
      </c>
      <c r="J9" t="str">
        <f ca="1">Board!E2&amp;" "&amp;Fairs!E2</f>
        <v>JUL 77.5 Call</v>
      </c>
      <c r="K9">
        <f>Fairs!F2</f>
        <v>1.8646662949023138</v>
      </c>
    </row>
    <row r="10" spans="1:11">
      <c r="C10" t="s">
        <v>39</v>
      </c>
      <c r="D10" t="b">
        <v>0</v>
      </c>
      <c r="E10" t="s">
        <v>39</v>
      </c>
      <c r="J10" t="str">
        <f ca="1">Board!E2&amp;" "&amp;Fairs!E3</f>
        <v>JUL 77.5 Put</v>
      </c>
      <c r="K10">
        <f>Fairs!F3</f>
        <v>1.0646662949023127</v>
      </c>
    </row>
    <row r="11" spans="1:11">
      <c r="C11" t="s">
        <v>40</v>
      </c>
      <c r="D11" t="b">
        <v>0</v>
      </c>
      <c r="E11" t="s">
        <v>40</v>
      </c>
      <c r="J11" t="str">
        <f ca="1">Board!E2&amp;" "&amp;Fairs!E4</f>
        <v>JUL 77.5 P+S</v>
      </c>
      <c r="K11">
        <f>Fairs!F4</f>
        <v>1.8446662949023138</v>
      </c>
    </row>
    <row r="12" spans="1:11">
      <c r="C12" t="s">
        <v>41</v>
      </c>
      <c r="D12" t="b">
        <v>0</v>
      </c>
      <c r="E12" t="s">
        <v>41</v>
      </c>
      <c r="J12" t="str">
        <f ca="1">Board!E2&amp;" "&amp;Fairs!E5</f>
        <v>JUL 77.5 b/w</v>
      </c>
      <c r="K12">
        <f>Fairs!F5</f>
        <v>1.0846662949023127</v>
      </c>
    </row>
    <row r="13" spans="1:11">
      <c r="C13" t="s">
        <v>42</v>
      </c>
      <c r="D13" t="b">
        <v>0</v>
      </c>
      <c r="E13" t="s">
        <v>42</v>
      </c>
      <c r="J13" t="str">
        <f ca="1">Board!E2&amp;" "&amp;Fairs!G2</f>
        <v>JUL 80 Call</v>
      </c>
      <c r="K13">
        <f>Fairs!H2</f>
        <v>0.75849687979886582</v>
      </c>
    </row>
    <row r="14" spans="1:11">
      <c r="J14" t="str">
        <f ca="1">Board!E2&amp;" "&amp;Fairs!G3</f>
        <v>JUL 80 Put</v>
      </c>
      <c r="K14">
        <f>Fairs!H3</f>
        <v>2.4584968797988647</v>
      </c>
    </row>
    <row r="15" spans="1:11">
      <c r="J15" t="str">
        <f ca="1">Board!E2&amp;" "&amp;Fairs!G4</f>
        <v>JUL 80 P+S</v>
      </c>
      <c r="K15">
        <f>Fairs!H4</f>
        <v>0.7384968797988658</v>
      </c>
    </row>
    <row r="16" spans="1:11">
      <c r="J16" t="str">
        <f ca="1">Board!E2&amp;" "&amp;Fairs!G5</f>
        <v>JUL 80 b/w</v>
      </c>
      <c r="K16">
        <f>Fairs!H5</f>
        <v>2.4784968797988647</v>
      </c>
    </row>
    <row r="17" spans="10:11">
      <c r="J17" t="str">
        <f ca="1">Board!E2&amp;" "&amp;Fairs!I2</f>
        <v>JUL 82.5 Call</v>
      </c>
      <c r="K17">
        <f>Fairs!J2</f>
        <v>0.2367691106763683</v>
      </c>
    </row>
    <row r="18" spans="10:11">
      <c r="J18" t="str">
        <f ca="1">Board!E2&amp;" "&amp;Fairs!I3</f>
        <v>JUL 82.5 Put</v>
      </c>
      <c r="K18">
        <f>Fairs!J3</f>
        <v>4.4367691106763676</v>
      </c>
    </row>
    <row r="19" spans="10:11">
      <c r="J19" t="str">
        <f ca="1">Board!E2&amp;" "&amp;Fairs!I4</f>
        <v>JUL 82.5 P+S</v>
      </c>
      <c r="K19">
        <f>Fairs!J4</f>
        <v>0.21676911067636831</v>
      </c>
    </row>
    <row r="20" spans="10:11">
      <c r="J20" t="str">
        <f ca="1">Board!E2&amp;" "&amp;Fairs!I5</f>
        <v>JUL 82.5 b/w</v>
      </c>
      <c r="K20">
        <f>Fairs!J5</f>
        <v>4.4567691106763672</v>
      </c>
    </row>
    <row r="21" spans="10:11">
      <c r="J21" t="str">
        <f ca="1">Board!E2&amp;" "&amp;Fairs!A19</f>
        <v>JUL 72.5 Combo</v>
      </c>
      <c r="K21">
        <f>Fairs!B19</f>
        <v>5.8000000000000007</v>
      </c>
    </row>
    <row r="22" spans="10:11">
      <c r="J22" t="str">
        <f ca="1">Board!E2&amp;" "&amp;Fairs!C19</f>
        <v>JUL 75 Combo</v>
      </c>
      <c r="K22">
        <f>Fairs!D19</f>
        <v>3.3000000000000012</v>
      </c>
    </row>
    <row r="23" spans="10:11">
      <c r="J23" t="str">
        <f ca="1">Board!E2&amp;" "&amp;Fairs!E19</f>
        <v>JUL 77.5 Combo</v>
      </c>
      <c r="K23">
        <f>Fairs!F19</f>
        <v>0.80000000000000115</v>
      </c>
    </row>
    <row r="24" spans="10:11">
      <c r="J24" t="str">
        <f ca="1">Board!E2&amp;" "&amp;Fairs!G19</f>
        <v>JUL 80 Combo</v>
      </c>
      <c r="K24">
        <f>Fairs!H19</f>
        <v>-1.6999999999999988</v>
      </c>
    </row>
    <row r="25" spans="10:11">
      <c r="J25" t="str">
        <f ca="1">Board!E2&amp;" "&amp;Fairs!I19</f>
        <v>JUL 82.5 Combo</v>
      </c>
      <c r="K25">
        <f>Fairs!J19</f>
        <v>-4.1999999999999993</v>
      </c>
    </row>
    <row r="26" spans="10:11">
      <c r="J26" t="str">
        <f ca="1">Board!E2&amp;" "&amp;Fairs!C1&amp;" Straddle"</f>
        <v>JUL 75 Straddle</v>
      </c>
      <c r="K26">
        <f>Fairs!D10</f>
        <v>3.9584486767865275</v>
      </c>
    </row>
    <row r="27" spans="10:11">
      <c r="J27" t="str">
        <f ca="1">Board!E2&amp;" "&amp;Fairs!E1&amp;" Straddle"</f>
        <v>JUL 77.5 Straddle</v>
      </c>
      <c r="K27">
        <f>Fairs!F10</f>
        <v>2.9293325898046265</v>
      </c>
    </row>
    <row r="28" spans="10:11">
      <c r="J28" t="str">
        <f ca="1">Board!E2&amp;" "&amp;Fairs!G1&amp;" Straddle"</f>
        <v>JUL 80 Straddle</v>
      </c>
      <c r="K28">
        <f>Fairs!H10</f>
        <v>3.2169937595977305</v>
      </c>
    </row>
    <row r="29" spans="10:11">
      <c r="J29" t="str">
        <f ca="1">Board!E2&amp;" "&amp;Fairs!C1&amp;"/"&amp;Fairs!E1&amp;" Risk Reversal"</f>
        <v>JUL 75/77.5 Risk Reversal</v>
      </c>
      <c r="K29">
        <f>Fairs!D3-Fairs!F2</f>
        <v>-1.5354419565090507</v>
      </c>
    </row>
    <row r="30" spans="10:11">
      <c r="J30" t="str">
        <f ca="1">Board!E2&amp;" "&amp;Fairs!E1&amp;"/"&amp;Fairs!G1&amp;" Risk Reversal"</f>
        <v>JUL 77.5/80 Risk Reversal</v>
      </c>
      <c r="K30">
        <f>Fairs!F3-Fairs!H2</f>
        <v>0.30616941510344686</v>
      </c>
    </row>
    <row r="31" spans="10:11">
      <c r="J31" t="str">
        <f ca="1">Board!E2&amp;" "&amp;Fairs!C1&amp;"/"&amp;Fairs!G1&amp;" Risk Reversal"</f>
        <v>JUL 75/80 Risk Reversal</v>
      </c>
      <c r="K31">
        <f>Fairs!D3-Fairs!H2</f>
        <v>-0.42927254140560267</v>
      </c>
    </row>
    <row r="32" spans="10:11">
      <c r="J32" t="str">
        <f ca="1">Board!E2&amp;" "&amp;Fairs!C1&amp;"/"&amp;Fairs!E1&amp;" Strangle"</f>
        <v>JUL 75/77.5 Strangle</v>
      </c>
      <c r="K32">
        <f>Fairs!D3+Fairs!F2</f>
        <v>2.193890633295577</v>
      </c>
    </row>
    <row r="33" spans="10:11">
      <c r="J33" t="str">
        <f ca="1">Board!E2&amp;" "&amp;Fairs!E1&amp;"/"&amp;Fairs!G1&amp;" Strangle"</f>
        <v>JUL 77.5/80 Strangle</v>
      </c>
      <c r="K33">
        <f>Fairs!F3+Fairs!H2</f>
        <v>1.8231631747011785</v>
      </c>
    </row>
    <row r="34" spans="10:11">
      <c r="J34" t="str">
        <f ca="1">Board!E2&amp;" "&amp;Fairs!C1&amp;"/"&amp;Fairs!G1&amp;" Strangle"</f>
        <v>JUL 75/80 Strangle</v>
      </c>
      <c r="K34">
        <f>Fairs!D3+Fairs!H2</f>
        <v>1.087721218192129</v>
      </c>
    </row>
    <row r="35" spans="10:11">
      <c r="J35" t="str">
        <f ca="1">Board!X2&amp;" "&amp;Fairs2!A2</f>
        <v>AUG 72.5 Call</v>
      </c>
      <c r="K35">
        <f>Fairs2!B2</f>
        <v>7.6594469750396286</v>
      </c>
    </row>
    <row r="36" spans="10:11">
      <c r="J36" t="str">
        <f ca="1">Board!X2&amp;" "&amp;Fairs2!A3</f>
        <v>AUG 72.5 Put</v>
      </c>
      <c r="K36">
        <f>Fairs2!B3</f>
        <v>1.7394469750396273</v>
      </c>
    </row>
    <row r="37" spans="10:11">
      <c r="J37" t="str">
        <f ca="1">Board!X2&amp;" "&amp;Fairs2!A4</f>
        <v>AUG 72.5 P+S</v>
      </c>
      <c r="K37">
        <f>Fairs2!B4</f>
        <v>7.5194469750396289</v>
      </c>
    </row>
    <row r="38" spans="10:11">
      <c r="J38" t="str">
        <f ca="1">Board!X2&amp;" "&amp;Fairs2!A5</f>
        <v>AUG 72.5 b/w</v>
      </c>
      <c r="K38">
        <f>Fairs2!B5</f>
        <v>1.8794469750396274</v>
      </c>
    </row>
    <row r="39" spans="10:11">
      <c r="J39" t="str">
        <f ca="1">Board!X2&amp;" "&amp;Fairs2!C2</f>
        <v>AUG 75 Call</v>
      </c>
      <c r="K39">
        <f>Fairs2!D2</f>
        <v>6.0332014447258757</v>
      </c>
    </row>
    <row r="40" spans="10:11">
      <c r="J40" t="str">
        <f ca="1">Board!X2&amp;" "&amp;Fairs2!C3</f>
        <v>AUG 75 Put</v>
      </c>
      <c r="K40">
        <f>Fairs2!D3</f>
        <v>2.6132014447258745</v>
      </c>
    </row>
    <row r="41" spans="10:11">
      <c r="J41" t="str">
        <f ca="1">Board!X2&amp;" "&amp;Fairs2!C4</f>
        <v>AUG 75 P+S</v>
      </c>
      <c r="K41">
        <f>Fairs2!D4</f>
        <v>5.893201444725876</v>
      </c>
    </row>
    <row r="42" spans="10:11">
      <c r="J42" t="str">
        <f ca="1">Board!X2&amp;" "&amp;Fairs2!C5</f>
        <v>AUG 75 b/w</v>
      </c>
      <c r="K42">
        <f>Fairs2!D5</f>
        <v>2.7532014447258746</v>
      </c>
    </row>
    <row r="43" spans="10:11">
      <c r="J43" t="str">
        <f ca="1">Board!X2&amp;" "&amp;Fairs2!E2</f>
        <v>AUG 77.5 Call</v>
      </c>
      <c r="K43">
        <f>Fairs2!F2</f>
        <v>4.6442834436042801</v>
      </c>
    </row>
    <row r="44" spans="10:11">
      <c r="J44" t="str">
        <f ca="1">Board!X2&amp;" "&amp;Fairs2!E3</f>
        <v>AUG 77.5 Put</v>
      </c>
      <c r="K44">
        <f>Fairs2!F3</f>
        <v>3.7242834436042789</v>
      </c>
    </row>
    <row r="45" spans="10:11">
      <c r="J45" t="str">
        <f ca="1">Board!X2&amp;" "&amp;Fairs2!E4</f>
        <v>AUG 77.5 P+S</v>
      </c>
      <c r="K45">
        <f>Fairs2!F4</f>
        <v>4.5042834436042805</v>
      </c>
    </row>
    <row r="46" spans="10:11">
      <c r="J46" t="str">
        <f ca="1">Board!X2&amp;" "&amp;Fairs2!E5</f>
        <v>AUG 77.5 b/w</v>
      </c>
      <c r="K46">
        <f>Fairs2!F5</f>
        <v>3.864283443604279</v>
      </c>
    </row>
    <row r="47" spans="10:11">
      <c r="J47" t="str">
        <f ca="1">Board!X2&amp;" "&amp;Fairs2!G2</f>
        <v>AUG 80 Call</v>
      </c>
      <c r="K47">
        <f>Fairs2!H2</f>
        <v>3.4933289021008775</v>
      </c>
    </row>
    <row r="48" spans="10:11">
      <c r="J48" t="str">
        <f ca="1">Board!X2&amp;" "&amp;Fairs2!G3</f>
        <v>AUG 80 Put</v>
      </c>
      <c r="K48">
        <f>Fairs2!H3</f>
        <v>5.0733289021008767</v>
      </c>
    </row>
    <row r="49" spans="10:11">
      <c r="J49" t="str">
        <f ca="1">Board!X2&amp;" "&amp;Fairs2!G4</f>
        <v>AUG 80 P+S</v>
      </c>
      <c r="K49">
        <f>Fairs2!H4</f>
        <v>3.3533289021008774</v>
      </c>
    </row>
    <row r="50" spans="10:11">
      <c r="J50" t="str">
        <f ca="1">Board!X2&amp;" "&amp;Fairs2!G5</f>
        <v>AUG 80 b/w</v>
      </c>
      <c r="K50">
        <f>Fairs2!H5</f>
        <v>5.2133289021008764</v>
      </c>
    </row>
    <row r="51" spans="10:11">
      <c r="J51" t="str">
        <f ca="1">Board!X2&amp;" "&amp;Fairs2!I2</f>
        <v>AUG 82.5 Call</v>
      </c>
      <c r="K51">
        <f>Fairs2!J2</f>
        <v>2.5678863063127935</v>
      </c>
    </row>
    <row r="52" spans="10:11">
      <c r="J52" t="str">
        <f ca="1">Board!X2&amp;" "&amp;Fairs2!I3</f>
        <v>AUG 82.5 Put</v>
      </c>
      <c r="K52">
        <f>Fairs2!J3</f>
        <v>6.6478863063127926</v>
      </c>
    </row>
    <row r="53" spans="10:11">
      <c r="J53" t="str">
        <f ca="1">Board!X2&amp;" "&amp;Fairs2!I4</f>
        <v>AUG 82.5 P+S</v>
      </c>
      <c r="K53">
        <f>Fairs2!J4</f>
        <v>2.4278863063127933</v>
      </c>
    </row>
    <row r="54" spans="10:11">
      <c r="J54" t="str">
        <f ca="1">Board!X2&amp;" "&amp;Fairs2!I5</f>
        <v>AUG 82.5 b/w</v>
      </c>
      <c r="K54">
        <f>Fairs2!J5</f>
        <v>6.7878863063127923</v>
      </c>
    </row>
    <row r="55" spans="10:11">
      <c r="J55" t="str">
        <f ca="1">Board!X2&amp;" "&amp;Fairs2!A19</f>
        <v>AUG 72.5 Combo</v>
      </c>
      <c r="K55">
        <f>Fairs2!B19</f>
        <v>5.9200000000000017</v>
      </c>
    </row>
    <row r="56" spans="10:11">
      <c r="J56" t="str">
        <f ca="1">Board!X2&amp;" "&amp;Fairs2!C19</f>
        <v>AUG 75 Combo</v>
      </c>
      <c r="K56">
        <f>Fairs2!D19</f>
        <v>3.4200000000000013</v>
      </c>
    </row>
    <row r="57" spans="10:11">
      <c r="J57" t="str">
        <f ca="1">Board!X2&amp;" "&amp;Fairs2!E19</f>
        <v>AUG 77.5 Combo</v>
      </c>
      <c r="K57">
        <f>Fairs2!F19</f>
        <v>0.92000000000000126</v>
      </c>
    </row>
    <row r="58" spans="10:11">
      <c r="J58" t="str">
        <f ca="1">Board!X2&amp;" "&amp;Fairs2!G19</f>
        <v>AUG 80 Combo</v>
      </c>
      <c r="K58">
        <f>Fairs2!H19</f>
        <v>-1.5799999999999992</v>
      </c>
    </row>
    <row r="59" spans="10:11">
      <c r="J59" t="str">
        <f ca="1">Board!X2&amp;" "&amp;Fairs2!I19</f>
        <v>AUG 82.5 Combo</v>
      </c>
      <c r="K59">
        <f>Fairs2!J19</f>
        <v>-4.0799999999999992</v>
      </c>
    </row>
    <row r="60" spans="10:11">
      <c r="J60" t="str">
        <f ca="1">Board!X2&amp;" "&amp;Fairs2!C1&amp;" Straddle"</f>
        <v>AUG 75 Straddle</v>
      </c>
      <c r="K60">
        <f>Fairs2!D10</f>
        <v>8.6464028894517497</v>
      </c>
    </row>
    <row r="61" spans="10:11">
      <c r="J61" t="str">
        <f ca="1">Board!X2&amp;" "&amp;Fairs2!E1&amp;" Straddle"</f>
        <v>AUG 77.5 Straddle</v>
      </c>
      <c r="K61">
        <f>Fairs2!F10</f>
        <v>8.3685668872085586</v>
      </c>
    </row>
    <row r="62" spans="10:11">
      <c r="J62" t="str">
        <f ca="1">Board!X2&amp;" "&amp;Fairs2!G1&amp;" Straddle"</f>
        <v>AUG 80 Straddle</v>
      </c>
      <c r="K62">
        <f>Fairs2!H10</f>
        <v>8.5666578042017534</v>
      </c>
    </row>
    <row r="63" spans="10:11">
      <c r="J63" t="str">
        <f ca="1">Board!X2&amp;" "&amp;Fairs2!C1&amp;"/"&amp;Fairs2!E1&amp;" Risk Reversal"</f>
        <v>AUG 75/77.5 Risk Reversal</v>
      </c>
      <c r="K63">
        <f>Fairs2!D3-Fairs2!F2</f>
        <v>-2.0310819988784057</v>
      </c>
    </row>
    <row r="64" spans="10:11">
      <c r="J64" t="str">
        <f ca="1">Board!X2&amp;" "&amp;Fairs2!E1&amp;"/"&amp;Fairs2!G1&amp;" Risk Reversal"</f>
        <v>AUG 77.5/80 Risk Reversal</v>
      </c>
      <c r="K64">
        <f>Fairs2!F3-Fairs2!H2</f>
        <v>0.23095454150340133</v>
      </c>
    </row>
    <row r="65" spans="10:11">
      <c r="J65" t="str">
        <f ca="1">Board!X2&amp;" "&amp;Fairs2!C1&amp;"/"&amp;Fairs2!G1&amp;" Risk Reversal"</f>
        <v>AUG 75/80 Risk Reversal</v>
      </c>
      <c r="K65">
        <f>Fairs2!D3-Fairs2!H2</f>
        <v>-0.88012745737500309</v>
      </c>
    </row>
    <row r="66" spans="10:11">
      <c r="J66" t="str">
        <f ca="1">Board!X2&amp;" "&amp;Fairs2!C1&amp;"/"&amp;Fairs2!E1&amp;" Strangle"</f>
        <v>AUG 75/77.5 Strangle</v>
      </c>
      <c r="K66">
        <f>Fairs2!D3+Fairs2!F2</f>
        <v>7.2574848883301541</v>
      </c>
    </row>
    <row r="67" spans="10:11">
      <c r="J67" t="str">
        <f ca="1">Board!X2&amp;" "&amp;Fairs2!E1&amp;"/"&amp;Fairs2!G1&amp;" Strangle"</f>
        <v>AUG 77.5/80 Strangle</v>
      </c>
      <c r="K67">
        <f>Fairs2!F3+Fairs2!H2</f>
        <v>7.217612345705156</v>
      </c>
    </row>
    <row r="68" spans="10:11">
      <c r="J68" t="str">
        <f ca="1">Board!X2&amp;" "&amp;Fairs2!C1&amp;"/"&amp;Fairs2!G1&amp;" Strangle"</f>
        <v>AUG 75/80 Strangle</v>
      </c>
      <c r="K68">
        <f>Fairs2!D3+Fairs2!H2</f>
        <v>6.1065303468267516</v>
      </c>
    </row>
    <row r="69" spans="10:11">
      <c r="J69" t="str">
        <f ca="1">Board!E2&amp;" "&amp;Fairs!A1&amp;" / "&amp;Board!X2&amp;" "&amp;Fairs2!A1&amp;" CC"</f>
        <v>JUL 72.5 / AUG 72.5 CC</v>
      </c>
      <c r="K69">
        <f>Fairs2!B2-Fairs!B2</f>
        <v>1.7953403459495547</v>
      </c>
    </row>
    <row r="70" spans="10:11">
      <c r="J70" t="str">
        <f ca="1">Board!E2&amp;" "&amp;Fairs!A1&amp;" / "&amp;Board!X2&amp;" "&amp;Fairs2!C1&amp;" CC"</f>
        <v>JUL 72.5 / AUG 75 CC</v>
      </c>
      <c r="K70">
        <f>Fairs2!D2-Fairs!B2</f>
        <v>0.16909481563580187</v>
      </c>
    </row>
    <row r="71" spans="10:11">
      <c r="J71" t="str">
        <f ca="1">Board!E2&amp;" "&amp;Fairs!A1&amp;" / "&amp;Board!X2&amp;" "&amp;Fairs2!E1&amp;" CC"</f>
        <v>JUL 72.5 / AUG 77.5 CC</v>
      </c>
      <c r="K71">
        <f>Fairs2!F2-Fairs!B2</f>
        <v>-1.2198231854857937</v>
      </c>
    </row>
    <row r="72" spans="10:11">
      <c r="J72" t="str">
        <f ca="1">Board!E2&amp;" "&amp;Fairs!A1&amp;" / "&amp;Board!X2&amp;" "&amp;Fairs2!G1&amp;" CC"</f>
        <v>JUL 72.5 / AUG 80 CC</v>
      </c>
      <c r="K72">
        <f>Fairs2!H2-Fairs!B2</f>
        <v>-2.3707777269891963</v>
      </c>
    </row>
    <row r="73" spans="10:11">
      <c r="J73" t="str">
        <f ca="1">Board!E2&amp;" "&amp;Fairs!A1&amp;" / "&amp;Board!X2&amp;" "&amp;Fairs2!I1&amp;" CC"</f>
        <v>JUL 72.5 / AUG 82.5 CC</v>
      </c>
      <c r="K73">
        <f>Fairs2!J2-Fairs!B2</f>
        <v>-3.2962203227772804</v>
      </c>
    </row>
    <row r="74" spans="10:11">
      <c r="J74" t="str">
        <f ca="1">Board!E2&amp;" "&amp;Fairs!C1&amp;" / "&amp;Board!X2&amp;" "&amp;Fairs2!C1&amp;" CC"</f>
        <v>JUL 75 / AUG 75 CC</v>
      </c>
      <c r="K74">
        <f>Fairs2!D2-Fairs!D2</f>
        <v>2.4039771063326114</v>
      </c>
    </row>
    <row r="75" spans="10:11">
      <c r="J75" t="str">
        <f ca="1">Board!E2&amp;" "&amp;Fairs!C1&amp;" / "&amp;Board!X2&amp;" "&amp;Fairs2!E1&amp;" CC"</f>
        <v>JUL 75 / AUG 77.5 CC</v>
      </c>
      <c r="K75">
        <f>Fairs2!F2-Fairs!D2</f>
        <v>1.0150591052110158</v>
      </c>
    </row>
    <row r="76" spans="10:11">
      <c r="J76" t="str">
        <f ca="1">Board!E2&amp;" "&amp;Fairs!C1&amp;" / "&amp;Board!X2&amp;" "&amp;Fairs2!G1&amp;" CC"</f>
        <v>JUL 75 / AUG 80 CC</v>
      </c>
      <c r="K76">
        <f>Fairs2!H2-Fairs!D2</f>
        <v>-0.13589543629238676</v>
      </c>
    </row>
    <row r="77" spans="10:11">
      <c r="J77" t="str">
        <f ca="1">Board!E2&amp;" "&amp;Fairs!C1&amp;" / "&amp;Board!X2&amp;" "&amp;Fairs2!I1&amp;" CC"</f>
        <v>JUL 75 / AUG 82.5 CC</v>
      </c>
      <c r="K77">
        <f>Fairs2!J2-Fairs!D2</f>
        <v>-1.0613380320804708</v>
      </c>
    </row>
    <row r="78" spans="10:11">
      <c r="J78" t="str">
        <f ca="1">Board!E2&amp;" "&amp;Fairs!E1&amp;" / "&amp;Board!X2&amp;" "&amp;Fairs2!E1&amp;" CC"</f>
        <v>JUL 77.5 / AUG 77.5 CC</v>
      </c>
      <c r="K78">
        <f>Fairs2!F2-Fairs!F2</f>
        <v>2.7796171487019663</v>
      </c>
    </row>
    <row r="79" spans="10:11">
      <c r="J79" t="str">
        <f ca="1">Board!E2&amp;" "&amp;Fairs!E1&amp;" / "&amp;Board!X2&amp;" "&amp;Fairs2!G1&amp;" CC"</f>
        <v>JUL 77.5 / AUG 80 CC</v>
      </c>
      <c r="K79">
        <f>Fairs2!H2-Fairs!F2</f>
        <v>1.6286626071985637</v>
      </c>
    </row>
    <row r="80" spans="10:11">
      <c r="J80" t="str">
        <f ca="1">Board!E2&amp;" "&amp;Fairs!E1&amp;" / "&amp;Board!X2&amp;" "&amp;Fairs2!I1&amp;" CC"</f>
        <v>JUL 77.5 / AUG 82.5 CC</v>
      </c>
      <c r="K80">
        <f>Fairs2!J2-Fairs!F2</f>
        <v>0.70322001141047963</v>
      </c>
    </row>
    <row r="81" spans="10:11">
      <c r="J81" t="str">
        <f ca="1">Board!E2&amp;" "&amp;Fairs!G1&amp;" / "&amp;Board!X2&amp;" "&amp;Fairs2!G1&amp;" CC"</f>
        <v>JUL 80 / AUG 80 CC</v>
      </c>
      <c r="K81">
        <f>Fairs2!H2-Fairs!H2</f>
        <v>2.7348320223020117</v>
      </c>
    </row>
    <row r="82" spans="10:11">
      <c r="J82" t="str">
        <f ca="1">Board!E2&amp;" "&amp;Fairs!G1&amp;" / "&amp;Board!X2&amp;" "&amp;Fairs2!I1&amp;" CC"</f>
        <v>JUL 80 / AUG 82.5 CC</v>
      </c>
      <c r="K82">
        <f>Fairs2!J2-Fairs!H2</f>
        <v>1.8093894265139276</v>
      </c>
    </row>
    <row r="83" spans="10:11">
      <c r="J83" t="str">
        <f ca="1">Board!E2&amp;" "&amp;Fairs!I1&amp;" / "&amp;Board!X2&amp;" "&amp;Fairs2!I1&amp;" CC"</f>
        <v>JUL 82.5 / AUG 82.5 CC</v>
      </c>
      <c r="K83">
        <f>Fairs2!J2-Fairs!J2</f>
        <v>2.3311171956364252</v>
      </c>
    </row>
    <row r="84" spans="10:11">
      <c r="J84" t="str">
        <f ca="1">Board!E2&amp;" "&amp;Fairs!A1&amp;" / "&amp;Board!X2&amp;" "&amp;Fairs2!A1&amp;" PC"</f>
        <v>JUL 72.5 / AUG 72.5 PC</v>
      </c>
      <c r="K84">
        <f>Fairs2!B3-Fairs!B3</f>
        <v>1.6753403459495546</v>
      </c>
    </row>
    <row r="85" spans="10:11">
      <c r="J85" t="str">
        <f ca="1">Board!E2&amp;" "&amp;Fairs!C1&amp;" / "&amp;Board!X2&amp;" "&amp;Fairs2!A1&amp;" PC"</f>
        <v>JUL 75 / AUG 72.5 PC</v>
      </c>
      <c r="K85">
        <f>Fairs2!B3-Fairs!D3</f>
        <v>1.4102226366463642</v>
      </c>
    </row>
    <row r="86" spans="10:11">
      <c r="J86" t="str">
        <f ca="1">Board!E2&amp;" "&amp;Fairs!C1&amp;" / "&amp;Board!X2&amp;" "&amp;Fairs2!C1&amp;" PC"</f>
        <v>JUL 75 / AUG 75 PC</v>
      </c>
      <c r="K86">
        <f>Fairs2!D3-Fairs!D3</f>
        <v>2.2839771063326113</v>
      </c>
    </row>
    <row r="87" spans="10:11">
      <c r="J87" t="str">
        <f ca="1">Board!E2&amp;" "&amp;Fairs!E1&amp;" / "&amp;Board!X2&amp;" "&amp;Fairs2!A1&amp;" PC"</f>
        <v>JUL 77.5 / AUG 72.5 PC</v>
      </c>
      <c r="K87">
        <f>Fairs2!B3-Fairs!F3</f>
        <v>0.67478068013731463</v>
      </c>
    </row>
    <row r="88" spans="10:11">
      <c r="J88" t="str">
        <f ca="1">Board!E2&amp;" "&amp;Fairs!E1&amp;" / "&amp;Board!X2&amp;" "&amp;Fairs2!C1&amp;" PC"</f>
        <v>JUL 77.5 / AUG 75 PC</v>
      </c>
      <c r="K88">
        <f>Fairs2!D3-Fairs!F3</f>
        <v>1.5485351498235618</v>
      </c>
    </row>
    <row r="89" spans="10:11">
      <c r="J89" t="str">
        <f ca="1">Board!E2&amp;" "&amp;Fairs!E1&amp;" / "&amp;Board!X2&amp;" "&amp;Fairs2!E1&amp;" PC"</f>
        <v>JUL 77.5 / AUG 77.5 PC</v>
      </c>
      <c r="K89">
        <f>Fairs2!F3-Fairs!F3</f>
        <v>2.6596171487019662</v>
      </c>
    </row>
    <row r="90" spans="10:11">
      <c r="J90" t="str">
        <f ca="1">Board!E2&amp;" "&amp;Fairs!G1&amp;" / "&amp;Board!X2&amp;" "&amp;Fairs2!A1&amp;" PC"</f>
        <v>JUL 80 / AUG 72.5 PC</v>
      </c>
      <c r="K90">
        <f>Fairs2!B3-Fairs!H3</f>
        <v>-0.71904990475923736</v>
      </c>
    </row>
    <row r="91" spans="10:11">
      <c r="J91" t="str">
        <f ca="1">Board!E2&amp;" "&amp;Fairs!G1&amp;" / "&amp;Board!X2&amp;" "&amp;Fairs2!C1&amp;" PC"</f>
        <v>JUL 80 / AUG 75 PC</v>
      </c>
      <c r="K91">
        <f>Fairs2!D3-Fairs!H3</f>
        <v>0.15470456492700979</v>
      </c>
    </row>
    <row r="92" spans="10:11">
      <c r="J92" t="str">
        <f ca="1">Board!E2&amp;" "&amp;Fairs!G1&amp;" / "&amp;Board!X2&amp;" "&amp;Fairs2!E1&amp;" PC"</f>
        <v>JUL 80 / AUG 77.5 PC</v>
      </c>
      <c r="K92">
        <f>Fairs2!F3-Fairs!H3</f>
        <v>1.2657865638054142</v>
      </c>
    </row>
    <row r="93" spans="10:11">
      <c r="J93" t="str">
        <f ca="1">Board!E2&amp;" "&amp;Fairs!G1&amp;" / "&amp;Board!X2&amp;" "&amp;Fairs2!G1&amp;" PC"</f>
        <v>JUL 80 / AUG 80 PC</v>
      </c>
      <c r="K93">
        <f>Fairs2!H3-Fairs!H3</f>
        <v>2.6148320223020121</v>
      </c>
    </row>
    <row r="94" spans="10:11">
      <c r="J94" t="str">
        <f ca="1">Board!E2&amp;" "&amp;Fairs!I1&amp;" / "&amp;Board!X2&amp;" "&amp;Fairs2!A1&amp;" PC"</f>
        <v>JUL 82.5 / AUG 72.5 PC</v>
      </c>
      <c r="K94">
        <f>Fairs2!B3-Fairs!J3</f>
        <v>-2.6973221356367403</v>
      </c>
    </row>
    <row r="95" spans="10:11">
      <c r="J95" t="str">
        <f ca="1">Board!E2&amp;" "&amp;Fairs!I1&amp;" / "&amp;Board!X2&amp;" "&amp;Fairs2!C1&amp;" PC"</f>
        <v>JUL 82.5 / AUG 75 PC</v>
      </c>
      <c r="K95">
        <f>Fairs2!D3-Fairs!J3</f>
        <v>-1.8235676659504931</v>
      </c>
    </row>
    <row r="96" spans="10:11">
      <c r="J96" t="str">
        <f ca="1">Board!E2&amp;" "&amp;Fairs!I1&amp;" / "&amp;Board!X2&amp;" "&amp;Fairs2!E1&amp;" PC"</f>
        <v>JUL 82.5 / AUG 77.5 PC</v>
      </c>
      <c r="K96">
        <f>Fairs2!F3-Fairs!J3</f>
        <v>-0.71248566707208871</v>
      </c>
    </row>
    <row r="97" spans="10:11">
      <c r="J97" t="str">
        <f ca="1">Board!E2&amp;" "&amp;Fairs!I1&amp;" / "&amp;Board!X2&amp;" "&amp;Fairs2!G1&amp;" PC"</f>
        <v>JUL 82.5 / AUG 80 PC</v>
      </c>
      <c r="K97">
        <f>Fairs2!H3-Fairs!J3</f>
        <v>0.63655979142450914</v>
      </c>
    </row>
    <row r="98" spans="10:11">
      <c r="J98" t="str">
        <f ca="1">Board!E2&amp;" "&amp;Fairs!I1&amp;" / "&amp;Board!X2&amp;" "&amp;Fairs2!I1&amp;" PC"</f>
        <v>JUL 82.5 / AUG 82.5 PC</v>
      </c>
      <c r="K98">
        <f>Fairs2!J3-Fairs!J3</f>
        <v>2.2111171956364251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Board</vt:lpstr>
      <vt:lpstr>Fairs</vt:lpstr>
      <vt:lpstr>Fairs2</vt:lpstr>
      <vt:lpstr>Orders</vt:lpstr>
    </vt:vector>
  </TitlesOfParts>
  <Company>Eastern Greene High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Keilor Gilbert</dc:creator>
  <cp:lastModifiedBy>Keilor Gilbert</cp:lastModifiedBy>
  <dcterms:created xsi:type="dcterms:W3CDTF">2014-10-19T17:11:43Z</dcterms:created>
  <dcterms:modified xsi:type="dcterms:W3CDTF">2015-07-17T23:36:55Z</dcterms:modified>
</cp:coreProperties>
</file>